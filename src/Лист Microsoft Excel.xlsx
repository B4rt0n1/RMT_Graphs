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hmed\OneDrive\Рабочий стол\tmr\"/>
    </mc:Choice>
  </mc:AlternateContent>
  <xr:revisionPtr revIDLastSave="0" documentId="13_ncr:1_{9F370FE6-E114-4961-AC77-AC6E8E691D2A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RAM Retail Price" sheetId="1" r:id="rId1"/>
    <sheet name="Company Revenue Summary" sheetId="7" r:id="rId2"/>
    <sheet name="Company Revenue" sheetId="2" r:id="rId3"/>
    <sheet name="Company Spending Summary" sheetId="3" r:id="rId4"/>
    <sheet name="Company Spending Data" sheetId="4" r:id="rId5"/>
    <sheet name="Semiconductor Price Index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/>
  <c r="B16" i="3"/>
  <c r="B17" i="3"/>
  <c r="B18" i="3"/>
  <c r="B19" i="3"/>
  <c r="B21" i="3"/>
  <c r="E7" i="3"/>
  <c r="E6" i="3"/>
  <c r="E5" i="3"/>
  <c r="E4" i="3"/>
  <c r="D7" i="3"/>
  <c r="D6" i="3"/>
  <c r="D5" i="3"/>
  <c r="D4" i="3"/>
  <c r="C7" i="3"/>
  <c r="C6" i="3"/>
  <c r="C5" i="3"/>
  <c r="C4" i="3"/>
  <c r="B7" i="3"/>
  <c r="B6" i="3"/>
  <c r="B5" i="3"/>
  <c r="B4" i="3"/>
  <c r="B20" i="3"/>
  <c r="B6" i="7"/>
  <c r="B5" i="7"/>
  <c r="B4" i="7"/>
  <c r="B3" i="7"/>
  <c r="B2" i="7"/>
  <c r="B7" i="7" s="1"/>
  <c r="A6" i="3"/>
  <c r="I13" i="4"/>
  <c r="I29" i="4"/>
  <c r="I5" i="4"/>
  <c r="I6" i="4"/>
  <c r="I33" i="4"/>
  <c r="I32" i="4"/>
  <c r="I31" i="4"/>
  <c r="I30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2" i="4"/>
  <c r="I11" i="4"/>
  <c r="I10" i="4"/>
  <c r="I9" i="4"/>
  <c r="I8" i="4"/>
  <c r="I7" i="4"/>
  <c r="I4" i="4"/>
  <c r="I3" i="4"/>
  <c r="I2" i="4"/>
  <c r="A5" i="3"/>
  <c r="A4" i="3"/>
  <c r="A7" i="3"/>
  <c r="F7" i="3" l="1"/>
  <c r="F6" i="3"/>
  <c r="F5" i="3"/>
  <c r="F4" i="3"/>
  <c r="B23" i="3" l="1"/>
</calcChain>
</file>

<file path=xl/sharedStrings.xml><?xml version="1.0" encoding="utf-8"?>
<sst xmlns="http://schemas.openxmlformats.org/spreadsheetml/2006/main" count="784" uniqueCount="202">
  <si>
    <t>Type</t>
  </si>
  <si>
    <t>Date</t>
  </si>
  <si>
    <t>Price (USD/GB)</t>
  </si>
  <si>
    <t>Description</t>
  </si>
  <si>
    <t>DDR4</t>
  </si>
  <si>
    <t>2.000</t>
  </si>
  <si>
    <t>1x 32GB SO-DIMM DDR4-2666 @ $61.99 + $1.99 shipping</t>
  </si>
  <si>
    <t>1.800</t>
  </si>
  <si>
    <t>2x 32GB SO-DIMM DDR4-3200 @ $114.99 + free shipping</t>
  </si>
  <si>
    <t>1.500</t>
  </si>
  <si>
    <t>2x 32GB SO-DIMM DDR4-3200 @ $97.99 + free shipping</t>
  </si>
  <si>
    <t>1.430</t>
  </si>
  <si>
    <t>2x 32GB DIMM DDR4-2666 @ $93.99 + free shipping</t>
  </si>
  <si>
    <t>1.400</t>
  </si>
  <si>
    <t>2x 16GB SO-DIMM DDR4-3200 @ $45.99 + free shipping</t>
  </si>
  <si>
    <t>1.420</t>
  </si>
  <si>
    <t>2x 32GB DIMM DDR4-3200 @ $92.99 + free shipping</t>
  </si>
  <si>
    <t>1.370</t>
  </si>
  <si>
    <t>2x 32GB SO-DIMM DDR4-3200 @ $89.99 + free shipping</t>
  </si>
  <si>
    <t>1.280</t>
  </si>
  <si>
    <t>2x 16GB SO-DIMM DDR4-2666 @ $41.99 + free shipping</t>
  </si>
  <si>
    <t>1.570</t>
  </si>
  <si>
    <t>2x 32GB SO-DIMM DDR4-3200 @ $102.99 + free shipping</t>
  </si>
  <si>
    <t>1.680</t>
  </si>
  <si>
    <t>2x 32GB SO-DIMM DDR4-3200 @ $109.99 + free shipping</t>
  </si>
  <si>
    <t>1.530</t>
  </si>
  <si>
    <t>2x 32GB DIMM DDR4-2666 @ $99.99 + free shipping</t>
  </si>
  <si>
    <t>1.620</t>
  </si>
  <si>
    <t>2x 16GB DIMM DDR4-3200 @ $52.99 + free shipping</t>
  </si>
  <si>
    <t>2x 32GB DIMM DDR4-3600 @ $99.99 + free shipping</t>
  </si>
  <si>
    <t>0.8980</t>
  </si>
  <si>
    <t>FURY Beast 64GB, 4 X 16GB DDR4 SDRAM Memory KIT</t>
  </si>
  <si>
    <t>1.625</t>
  </si>
  <si>
    <t>G.Skill 32GB (2 x 16G) Ripjaws Series DDR4 PC4-17000 2133MHz Laptop Memory Model F4-2133C1</t>
  </si>
  <si>
    <t>1.794</t>
  </si>
  <si>
    <t>1.809</t>
  </si>
  <si>
    <t>1.833</t>
  </si>
  <si>
    <t>1.886</t>
  </si>
  <si>
    <t>1.858</t>
  </si>
  <si>
    <t>1.788</t>
  </si>
  <si>
    <t>1.753</t>
  </si>
  <si>
    <t>1.749</t>
  </si>
  <si>
    <t>A-Tech 8GB RAM for Intel NUC7i3DNKTC NUC 7 Business Mini PC | DDR4 2133MHz PC4-17000 1.2V</t>
  </si>
  <si>
    <t>1.924</t>
  </si>
  <si>
    <t>2.750</t>
  </si>
  <si>
    <t>G.SKILL Trident Z RGB Series DDR4 RAM (XMP) 16GB (2x8GB) 3000MT/s CL16-18-18-38 1.35V Inte</t>
  </si>
  <si>
    <t>3.059</t>
  </si>
  <si>
    <t>G.Skill Ripjaws V 16GB DDR4 K2 16GVK 4000 (2x8GB) C18</t>
  </si>
  <si>
    <t>2.116</t>
  </si>
  <si>
    <t>2.444</t>
  </si>
  <si>
    <t>3.674</t>
  </si>
  <si>
    <t>4.036</t>
  </si>
  <si>
    <t>6.247</t>
  </si>
  <si>
    <t>parts-quick 4GB Memory for Lenovo ThinkCentre M910x Tiny DDR4 2400MHz SODIMM Compatible RA</t>
  </si>
  <si>
    <t>7.218</t>
  </si>
  <si>
    <t>parts-quick 32GB Memory for HP ProBook 455 G5, 470 G5 Compatible RAM Upgrade DDR4-2666 SOD</t>
  </si>
  <si>
    <t>7.184</t>
  </si>
  <si>
    <t>Mushkin 8GB (4GB x 2) Essentials 260-Pin DDR4 SO-DIMM DDR4 2666MHz Laptop Memory Model MES</t>
  </si>
  <si>
    <t>7.247</t>
  </si>
  <si>
    <t>5.958</t>
  </si>
  <si>
    <t>A-Tech 16GB RAM Replacement for Fujitsu 38046017 | DDR4 2133MHz PC4-17000 2Rx8 1.2V SODIMM</t>
  </si>
  <si>
    <t>7.866</t>
  </si>
  <si>
    <t>OFFTEK 16GB Replacement Memory RAM Upgrade for ZOTAC ZBOX EN1060K (DDR4-17000) Desktop Mem</t>
  </si>
  <si>
    <t>6.257</t>
  </si>
  <si>
    <t>A-Tech 32GB (2 x 16GB) RAM for Intel NUC7i5BNK NUC Kit | DDR4 2133MHz PC4-17000 1.2V SODIM</t>
  </si>
  <si>
    <t>6.555</t>
  </si>
  <si>
    <t>Adamanta 128GB (4x32GB) Compatible for Dell Precision 5760, 7550, 7750, 7760 Laptop DDR4 2</t>
  </si>
  <si>
    <t>DDR5</t>
  </si>
  <si>
    <t>2.824</t>
  </si>
  <si>
    <t>64GB DDR5 4800MT/S Module KIT of 2</t>
  </si>
  <si>
    <t>2.808</t>
  </si>
  <si>
    <t>2.291</t>
  </si>
  <si>
    <t>CORSAIR Vengeance SODIMM DDR5 RAM 48GB (2x24GB) 4800MHz CL40 Intel XMP iCUE Compatible Com</t>
  </si>
  <si>
    <t>2.508</t>
  </si>
  <si>
    <t>64GB DDR5 5200MT/S Module KIT of 2</t>
  </si>
  <si>
    <t>1.837</t>
  </si>
  <si>
    <t>32GB DDR5 5600MT/S SODIMM KIT of 2</t>
  </si>
  <si>
    <t>2.756</t>
  </si>
  <si>
    <t>2.458</t>
  </si>
  <si>
    <t>2.917</t>
  </si>
  <si>
    <t>KingBank RGB Computer Desktop Memory Ram Hynix M-die DDR5 96GB(2x48GB) 6400MT/s CL32 1.4V</t>
  </si>
  <si>
    <t>2.708</t>
  </si>
  <si>
    <t>2.874</t>
  </si>
  <si>
    <t>Sam Original 8GB (1x8GB) DDR5 5600MHz PC5-44800 SODIMM 1Rx16 CL46 1.1v Laptop Notebook Mem</t>
  </si>
  <si>
    <t>2.538</t>
  </si>
  <si>
    <t>2.166</t>
  </si>
  <si>
    <t>2.329</t>
  </si>
  <si>
    <t>2.177</t>
  </si>
  <si>
    <t>2.920</t>
  </si>
  <si>
    <t>Axiom 32GB DDR5 SDRAM Memory Module - for Notebook - 32 GB - DDR5-5600/PC5-44800 DDR5 SDRA</t>
  </si>
  <si>
    <t>4.969</t>
  </si>
  <si>
    <t>G.Skill Trident Z5 32GB (2 X 16GB) DDR5 6000MHZ CL40 F5-6000J4040F16GX2-TZ5K Memory</t>
  </si>
  <si>
    <t>6.847</t>
  </si>
  <si>
    <t>96GB DDR5 SDRAM Memory Module</t>
  </si>
  <si>
    <t>9.874</t>
  </si>
  <si>
    <t>Kingston Fury Beast 8GB 5200MT/s DDR5 CL40 XMP 3.0 Ready Computer Memory Single Module KF5</t>
  </si>
  <si>
    <t>13.28</t>
  </si>
  <si>
    <t>Adamanta 64GB (2x32GB) Compatible with MSI Stealth GS66 12UH-095 DDR5 4800MHz PC5-38400 SO</t>
  </si>
  <si>
    <t>Micron SODIMM 16GB DDR5 4800 PC5 1Rx8 MTC8C1084S1SC48BAX Laptop Ultrabook RAM Memory for D</t>
  </si>
  <si>
    <t>7.109</t>
  </si>
  <si>
    <t>9.373</t>
  </si>
  <si>
    <t>Silicon Power DDR5 16GB (1x16GB) Zenith RGB 6400MT/s (PC5-51200) 288-pin CL32 1.4V UDIMM D</t>
  </si>
  <si>
    <t>Crucial 64GB DDR5 RAM Kit (2x32GB), 4800MHz CL40 Laptop Memory - SODIMM 262-Pin - Compatib</t>
  </si>
  <si>
    <t>16GB DDR5 4800MHz 1Rx8 4800B for Desktop Memory</t>
  </si>
  <si>
    <t>13.41</t>
  </si>
  <si>
    <t>Adamanta 64GB (2x32GB) Compatible for ASUS ProArt StudioBook 16 OLED H7600, H7600ZM Laptop</t>
  </si>
  <si>
    <t>10.940</t>
  </si>
  <si>
    <t>10.230</t>
  </si>
  <si>
    <t>10.300</t>
  </si>
  <si>
    <t>Name</t>
  </si>
  <si>
    <t>Chip manufacturer</t>
  </si>
  <si>
    <t>Start date</t>
  </si>
  <si>
    <t>End date</t>
  </si>
  <si>
    <t>Number of Units</t>
  </si>
  <si>
    <t>Chip type</t>
  </si>
  <si>
    <t>Chip Cost (USD)</t>
  </si>
  <si>
    <t>Cost Estimate (USD)</t>
  </si>
  <si>
    <t>Google</t>
  </si>
  <si>
    <t>TPU v5e</t>
  </si>
  <si>
    <t>TPU v5p</t>
  </si>
  <si>
    <t>Nvidia</t>
  </si>
  <si>
    <t>H100</t>
  </si>
  <si>
    <t>H20</t>
  </si>
  <si>
    <t>AMD</t>
  </si>
  <si>
    <t>Instinct MI250X</t>
  </si>
  <si>
    <t>Instinct MI300X</t>
  </si>
  <si>
    <t>Instinct MI300A</t>
  </si>
  <si>
    <t>Huawei</t>
  </si>
  <si>
    <t>Ascend 910B</t>
  </si>
  <si>
    <t>Ascend 910C</t>
  </si>
  <si>
    <t>Amazon</t>
  </si>
  <si>
    <t>Trainium1</t>
  </si>
  <si>
    <t>Trainium2</t>
  </si>
  <si>
    <t>Cambricon</t>
  </si>
  <si>
    <t>Siyuan 590</t>
  </si>
  <si>
    <t>TPU v6e</t>
  </si>
  <si>
    <t>B200</t>
  </si>
  <si>
    <t>Instinct MI325X</t>
  </si>
  <si>
    <t>B300</t>
  </si>
  <si>
    <t>Instinct MI350X</t>
  </si>
  <si>
    <t>TPU v7</t>
  </si>
  <si>
    <t>Instinct MI355X</t>
  </si>
  <si>
    <t>Instinct MI308X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</si>
  <si>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</si>
  <si>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</si>
  <si>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</si>
  <si>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</si>
  <si>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</si>
  <si>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</si>
  <si>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</si>
  <si>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</si>
  <si>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2704.0</t>
  </si>
  <si>
    <t>6022.0</t>
  </si>
  <si>
    <t>25000.0</t>
  </si>
  <si>
    <t>12000.0</t>
  </si>
  <si>
    <t>10000.0</t>
  </si>
  <si>
    <t>12500.0</t>
  </si>
  <si>
    <t>6700.0</t>
  </si>
  <si>
    <t>15000.0</t>
  </si>
  <si>
    <t>20000.0</t>
  </si>
  <si>
    <t>4000.0</t>
  </si>
  <si>
    <t>4059.0</t>
  </si>
  <si>
    <t>37000.0</t>
  </si>
  <si>
    <t>43000.0</t>
  </si>
  <si>
    <t>23500.0</t>
  </si>
  <si>
    <t>11737.0</t>
  </si>
  <si>
    <t>27500.0</t>
  </si>
  <si>
    <t>Designer</t>
  </si>
  <si>
    <t>NVIDIA</t>
  </si>
  <si>
    <t>2024-01-01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</si>
  <si>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</si>
  <si>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</si>
  <si>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</si>
  <si>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</si>
  <si>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</si>
  <si>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</si>
  <si>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</si>
  <si>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</si>
  <si>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Q4 2025 Designer Cost Breakdown (Median Estimates)</t>
  </si>
  <si>
    <t>Quarter</t>
  </si>
  <si>
    <t>Total Industry Cost (USD)</t>
  </si>
  <si>
    <t>All Quarters Total</t>
  </si>
  <si>
    <t>Start Date</t>
  </si>
  <si>
    <t>End Date</t>
  </si>
  <si>
    <t>2024-04-01</t>
  </si>
  <si>
    <t>2024-07-01</t>
  </si>
  <si>
    <t>2024-10-01</t>
  </si>
  <si>
    <t>2025-01-01</t>
  </si>
  <si>
    <t>2025-04-01</t>
  </si>
  <si>
    <t>2025-07-01</t>
  </si>
  <si>
    <t>2025-10-01</t>
  </si>
  <si>
    <t xml:space="preserve">Industry Total </t>
  </si>
  <si>
    <t>Observation Date</t>
  </si>
  <si>
    <t>Auxiliary Cost</t>
  </si>
  <si>
    <t>HBM Cost</t>
  </si>
  <si>
    <t>CoWoS Cost</t>
  </si>
  <si>
    <t>Logic Cost</t>
  </si>
  <si>
    <t xml:space="preserve">Total Cost </t>
  </si>
  <si>
    <t>Total Est. Cost</t>
  </si>
  <si>
    <t>Producer Price Index</t>
  </si>
  <si>
    <t>Cost Estimate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</si>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</sst>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\$#,##0"/>
    <numFmt numFmtId="165" formatCode="yyyy\-mm\-dd"/>
    <numFmt numFmtId="166" formatCode="0.00&quot;%&quot;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9"/>
      <name val="Segoe UI"/>
      <family val="2"/>
      <charset val="204"/>
    </font>
    <font>
      <sz val="9"/>
      <name val="Segoe UI"/>
      <family val="2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</font>
    <font>
      <sz val="11"/>
      <name val="Calibri"/>
      <family val="2"/>
      <charset val="204"/>
      <scheme val="minor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left" vertical="center" wrapText="1" indent="1"/>
    </xf>
    <xf numFmtId="0" fontId="3" fillId="0" borderId="0" xfId="0" applyFont="1"/>
    <xf numFmtId="14" fontId="3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0" fontId="9" fillId="0" borderId="0" xfId="0" applyFont="1"/>
    <xf numFmtId="166" fontId="7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10" fillId="0" borderId="0" xfId="0" applyFont="1"/>
    <xf numFmtId="166" fontId="3" fillId="0" borderId="2" xfId="0" applyNumberFormat="1" applyFont="1" applyBorder="1" applyAlignment="1">
      <alignment horizontal="right" vertical="center"/>
    </xf>
    <xf numFmtId="0" fontId="5" fillId="0" borderId="0" xfId="0" applyFont="1"/>
    <xf numFmtId="0" fontId="8" fillId="0" borderId="9" xfId="0" applyFont="1" applyBorder="1" applyAlignment="1">
      <alignment horizontal="center"/>
    </xf>
    <xf numFmtId="164" fontId="8" fillId="0" borderId="10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/>
    <xf numFmtId="164" fontId="8" fillId="0" borderId="8" xfId="0" applyNumberFormat="1" applyFont="1" applyBorder="1" applyAlignment="1">
      <alignment horizontal="right" vertical="center"/>
    </xf>
    <xf numFmtId="0" fontId="8" fillId="0" borderId="12" xfId="0" applyFont="1" applyBorder="1"/>
    <xf numFmtId="164" fontId="3" fillId="0" borderId="13" xfId="0" applyNumberFormat="1" applyFont="1" applyBorder="1" applyAlignment="1">
      <alignment horizontal="right" vertical="center"/>
    </xf>
    <xf numFmtId="164" fontId="8" fillId="0" borderId="14" xfId="0" applyNumberFormat="1" applyFont="1" applyBorder="1" applyAlignment="1">
      <alignment horizontal="right" vertical="center"/>
    </xf>
    <xf numFmtId="164" fontId="0" fillId="0" borderId="0" xfId="0" applyNumberFormat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64" fontId="3" fillId="0" borderId="6" xfId="0" applyNumberFormat="1" applyFont="1" applyBorder="1" applyAlignment="1">
      <alignment horizontal="right" vertical="center"/>
    </xf>
    <xf numFmtId="167" fontId="0" fillId="0" borderId="0" xfId="1" applyNumberFormat="1" applyFont="1"/>
    <xf numFmtId="166" fontId="3" fillId="0" borderId="15" xfId="0" applyNumberFormat="1" applyFont="1" applyBorder="1" applyAlignment="1">
      <alignment horizontal="right" vertical="center"/>
    </xf>
    <xf numFmtId="0" fontId="8" fillId="0" borderId="0" xfId="0" applyFont="1"/>
    <xf numFmtId="164" fontId="3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hmed\Downloads\Quarterly_Cost_and_Wafer_Analysis_by_Designer.xlsx" TargetMode="External"/><Relationship Id="rId1" Type="http://schemas.openxmlformats.org/officeDocument/2006/relationships/externalLinkPath" Target="file:///C:\Users\ahmed\Downloads\Quarterly_Cost_and_Wafer_Analysis_by_Design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ecutive Summary"/>
      <sheetName val="Quarterly Data"/>
    </sheetNames>
    <sheetDataSet>
      <sheetData sheetId="0"/>
      <sheetData sheetId="1">
        <row r="24">
          <cell r="C24" t="str">
            <v>Google</v>
          </cell>
        </row>
        <row r="25">
          <cell r="C25" t="str">
            <v>NVIDIA</v>
          </cell>
        </row>
        <row r="26">
          <cell r="C26" t="str">
            <v>AMD</v>
          </cell>
        </row>
        <row r="27">
          <cell r="C27" t="str">
            <v>Amazon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opLeftCell="A47" zoomScale="109" workbookViewId="0">
      <selection activeCell="D68" sqref="D68"/>
    </sheetView>
  </sheetViews>
  <sheetFormatPr defaultRowHeight="14.4" x14ac:dyDescent="0.3"/>
  <cols>
    <col min="2" max="2" width="10.109375" bestFit="1" customWidth="1"/>
    <col min="3" max="3" width="13.5546875" customWidth="1"/>
    <col min="9" max="9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1"/>
    </row>
    <row r="2" spans="1:5" x14ac:dyDescent="0.3">
      <c r="A2" t="s">
        <v>4</v>
      </c>
      <c r="B2" s="1">
        <v>44927</v>
      </c>
      <c r="C2" t="s">
        <v>5</v>
      </c>
      <c r="D2" s="1" t="s">
        <v>6</v>
      </c>
      <c r="E2" s="1"/>
    </row>
    <row r="3" spans="1:5" x14ac:dyDescent="0.3">
      <c r="A3" t="s">
        <v>4</v>
      </c>
      <c r="B3" s="1">
        <v>44956</v>
      </c>
      <c r="C3" t="s">
        <v>7</v>
      </c>
      <c r="D3" s="1" t="s">
        <v>8</v>
      </c>
      <c r="E3" s="1"/>
    </row>
    <row r="4" spans="1:5" x14ac:dyDescent="0.3">
      <c r="A4" t="s">
        <v>4</v>
      </c>
      <c r="B4" s="1">
        <v>44989</v>
      </c>
      <c r="C4" t="s">
        <v>7</v>
      </c>
      <c r="D4" s="1" t="s">
        <v>8</v>
      </c>
      <c r="E4" s="1"/>
    </row>
    <row r="5" spans="1:5" x14ac:dyDescent="0.3">
      <c r="A5" t="s">
        <v>4</v>
      </c>
      <c r="B5" s="1">
        <v>45047</v>
      </c>
      <c r="C5" t="s">
        <v>9</v>
      </c>
      <c r="D5" s="1" t="s">
        <v>10</v>
      </c>
      <c r="E5" s="1"/>
    </row>
    <row r="6" spans="1:5" x14ac:dyDescent="0.3">
      <c r="A6" t="s">
        <v>4</v>
      </c>
      <c r="B6" s="1">
        <v>45080</v>
      </c>
      <c r="C6" t="s">
        <v>11</v>
      </c>
      <c r="D6" s="1" t="s">
        <v>12</v>
      </c>
      <c r="E6" s="1"/>
    </row>
    <row r="7" spans="1:5" x14ac:dyDescent="0.3">
      <c r="A7" t="s">
        <v>4</v>
      </c>
      <c r="B7" s="1">
        <v>45109</v>
      </c>
      <c r="C7" t="s">
        <v>13</v>
      </c>
      <c r="D7" s="1" t="s">
        <v>14</v>
      </c>
      <c r="E7" s="1"/>
    </row>
    <row r="8" spans="1:5" x14ac:dyDescent="0.3">
      <c r="A8" t="s">
        <v>4</v>
      </c>
      <c r="B8" s="1">
        <v>45172</v>
      </c>
      <c r="C8" t="s">
        <v>15</v>
      </c>
      <c r="D8" s="1" t="s">
        <v>16</v>
      </c>
      <c r="E8" s="1"/>
    </row>
    <row r="9" spans="1:5" x14ac:dyDescent="0.3">
      <c r="A9" t="s">
        <v>4</v>
      </c>
      <c r="B9" s="1">
        <v>45201</v>
      </c>
      <c r="C9" t="s">
        <v>17</v>
      </c>
      <c r="D9" s="1" t="s">
        <v>18</v>
      </c>
      <c r="E9" s="1"/>
    </row>
    <row r="10" spans="1:5" x14ac:dyDescent="0.3">
      <c r="A10" t="s">
        <v>4</v>
      </c>
      <c r="B10" s="1">
        <v>45230</v>
      </c>
      <c r="C10" t="s">
        <v>19</v>
      </c>
      <c r="D10" s="1" t="s">
        <v>20</v>
      </c>
      <c r="E10" s="1"/>
    </row>
    <row r="11" spans="1:5" x14ac:dyDescent="0.3">
      <c r="A11" t="s">
        <v>4</v>
      </c>
      <c r="B11" s="1">
        <v>45292</v>
      </c>
      <c r="C11" t="s">
        <v>21</v>
      </c>
      <c r="D11" s="1" t="s">
        <v>22</v>
      </c>
      <c r="E11" s="1"/>
    </row>
    <row r="12" spans="1:5" x14ac:dyDescent="0.3">
      <c r="A12" t="s">
        <v>4</v>
      </c>
      <c r="B12" s="1">
        <v>45321</v>
      </c>
      <c r="C12" t="s">
        <v>23</v>
      </c>
      <c r="D12" s="1" t="s">
        <v>24</v>
      </c>
      <c r="E12" s="1"/>
    </row>
    <row r="13" spans="1:5" x14ac:dyDescent="0.3">
      <c r="A13" t="s">
        <v>4</v>
      </c>
      <c r="B13" s="1">
        <v>45354</v>
      </c>
      <c r="C13" t="s">
        <v>25</v>
      </c>
      <c r="D13" s="1" t="s">
        <v>26</v>
      </c>
      <c r="E13" s="1"/>
    </row>
    <row r="14" spans="1:5" x14ac:dyDescent="0.3">
      <c r="A14" t="s">
        <v>4</v>
      </c>
      <c r="B14" s="1">
        <v>45412</v>
      </c>
      <c r="C14" t="s">
        <v>27</v>
      </c>
      <c r="D14" s="1" t="s">
        <v>28</v>
      </c>
      <c r="E14" s="1"/>
    </row>
    <row r="15" spans="1:5" x14ac:dyDescent="0.3">
      <c r="A15" t="s">
        <v>4</v>
      </c>
      <c r="B15" s="1">
        <v>45474</v>
      </c>
      <c r="C15" t="s">
        <v>25</v>
      </c>
      <c r="D15" s="1" t="s">
        <v>29</v>
      </c>
      <c r="E15" s="1"/>
    </row>
    <row r="16" spans="1:5" x14ac:dyDescent="0.3">
      <c r="A16" t="s">
        <v>4</v>
      </c>
      <c r="B16" s="1">
        <v>45505</v>
      </c>
      <c r="C16" t="s">
        <v>30</v>
      </c>
      <c r="D16" s="1" t="s">
        <v>31</v>
      </c>
      <c r="E16" s="1"/>
    </row>
    <row r="17" spans="1:5" x14ac:dyDescent="0.3">
      <c r="A17" t="s">
        <v>67</v>
      </c>
      <c r="B17" s="1">
        <v>45505</v>
      </c>
      <c r="C17" t="s">
        <v>68</v>
      </c>
      <c r="D17" s="1" t="s">
        <v>69</v>
      </c>
      <c r="E17" s="1"/>
    </row>
    <row r="18" spans="1:5" x14ac:dyDescent="0.3">
      <c r="A18" t="s">
        <v>4</v>
      </c>
      <c r="B18" s="1">
        <v>45536</v>
      </c>
      <c r="C18" t="s">
        <v>32</v>
      </c>
      <c r="D18" s="1" t="s">
        <v>33</v>
      </c>
      <c r="E18" s="1"/>
    </row>
    <row r="19" spans="1:5" x14ac:dyDescent="0.3">
      <c r="A19" t="s">
        <v>67</v>
      </c>
      <c r="B19" s="1">
        <v>45536</v>
      </c>
      <c r="C19" t="s">
        <v>70</v>
      </c>
      <c r="D19" s="1" t="s">
        <v>69</v>
      </c>
      <c r="E19" s="1"/>
    </row>
    <row r="20" spans="1:5" x14ac:dyDescent="0.3">
      <c r="A20" t="s">
        <v>4</v>
      </c>
      <c r="B20" s="1">
        <v>45566</v>
      </c>
      <c r="C20" t="s">
        <v>34</v>
      </c>
      <c r="D20" s="1" t="s">
        <v>33</v>
      </c>
      <c r="E20" s="1"/>
    </row>
    <row r="21" spans="1:5" x14ac:dyDescent="0.3">
      <c r="A21" t="s">
        <v>67</v>
      </c>
      <c r="B21" s="1">
        <v>45566</v>
      </c>
      <c r="C21" t="s">
        <v>71</v>
      </c>
      <c r="D21" t="s">
        <v>72</v>
      </c>
    </row>
    <row r="22" spans="1:5" x14ac:dyDescent="0.3">
      <c r="A22" t="s">
        <v>4</v>
      </c>
      <c r="B22" s="1">
        <v>45597</v>
      </c>
      <c r="C22" t="s">
        <v>35</v>
      </c>
      <c r="D22" s="1" t="s">
        <v>33</v>
      </c>
      <c r="E22" s="1"/>
    </row>
    <row r="23" spans="1:5" x14ac:dyDescent="0.3">
      <c r="A23" t="s">
        <v>67</v>
      </c>
      <c r="B23" s="1">
        <v>45597</v>
      </c>
      <c r="C23" t="s">
        <v>73</v>
      </c>
      <c r="D23" t="s">
        <v>74</v>
      </c>
    </row>
    <row r="24" spans="1:5" x14ac:dyDescent="0.3">
      <c r="A24" t="s">
        <v>4</v>
      </c>
      <c r="B24" s="1">
        <v>45627</v>
      </c>
      <c r="C24" t="s">
        <v>36</v>
      </c>
      <c r="D24" s="1" t="s">
        <v>33</v>
      </c>
      <c r="E24" s="1"/>
    </row>
    <row r="25" spans="1:5" x14ac:dyDescent="0.3">
      <c r="A25" t="s">
        <v>67</v>
      </c>
      <c r="B25" s="1">
        <v>45627</v>
      </c>
      <c r="C25" t="s">
        <v>75</v>
      </c>
      <c r="D25" t="s">
        <v>76</v>
      </c>
    </row>
    <row r="26" spans="1:5" x14ac:dyDescent="0.3">
      <c r="A26" t="s">
        <v>4</v>
      </c>
      <c r="B26" s="1">
        <v>45658</v>
      </c>
      <c r="C26" t="s">
        <v>37</v>
      </c>
      <c r="D26" s="1" t="s">
        <v>33</v>
      </c>
      <c r="E26" s="1"/>
    </row>
    <row r="27" spans="1:5" x14ac:dyDescent="0.3">
      <c r="A27" t="s">
        <v>67</v>
      </c>
      <c r="B27" s="1">
        <v>45658</v>
      </c>
      <c r="C27" t="s">
        <v>77</v>
      </c>
      <c r="D27" t="s">
        <v>72</v>
      </c>
    </row>
    <row r="28" spans="1:5" x14ac:dyDescent="0.3">
      <c r="A28" t="s">
        <v>4</v>
      </c>
      <c r="B28" s="1">
        <v>45689</v>
      </c>
      <c r="C28" t="s">
        <v>38</v>
      </c>
      <c r="D28" s="1" t="s">
        <v>33</v>
      </c>
      <c r="E28" s="1"/>
    </row>
    <row r="29" spans="1:5" x14ac:dyDescent="0.3">
      <c r="A29" t="s">
        <v>67</v>
      </c>
      <c r="B29" s="1">
        <v>45689</v>
      </c>
      <c r="C29" t="s">
        <v>78</v>
      </c>
      <c r="D29" t="s">
        <v>72</v>
      </c>
    </row>
    <row r="30" spans="1:5" x14ac:dyDescent="0.3">
      <c r="A30" t="s">
        <v>4</v>
      </c>
      <c r="B30" s="1">
        <v>45717</v>
      </c>
      <c r="C30" t="s">
        <v>39</v>
      </c>
      <c r="D30" s="1" t="s">
        <v>33</v>
      </c>
      <c r="E30" s="1"/>
    </row>
    <row r="31" spans="1:5" x14ac:dyDescent="0.3">
      <c r="A31" t="s">
        <v>67</v>
      </c>
      <c r="B31" s="1">
        <v>45717</v>
      </c>
      <c r="C31" t="s">
        <v>79</v>
      </c>
      <c r="D31" t="s">
        <v>80</v>
      </c>
    </row>
    <row r="32" spans="1:5" x14ac:dyDescent="0.3">
      <c r="A32" t="s">
        <v>4</v>
      </c>
      <c r="B32" s="1">
        <v>45748</v>
      </c>
      <c r="C32" t="s">
        <v>40</v>
      </c>
      <c r="D32" s="1" t="s">
        <v>33</v>
      </c>
      <c r="E32" s="1"/>
    </row>
    <row r="33" spans="1:5" x14ac:dyDescent="0.3">
      <c r="A33" t="s">
        <v>67</v>
      </c>
      <c r="B33" s="1">
        <v>45748</v>
      </c>
      <c r="C33" t="s">
        <v>81</v>
      </c>
      <c r="D33" t="s">
        <v>72</v>
      </c>
    </row>
    <row r="34" spans="1:5" x14ac:dyDescent="0.3">
      <c r="A34" t="s">
        <v>4</v>
      </c>
      <c r="B34" s="1">
        <v>45778</v>
      </c>
      <c r="C34" t="s">
        <v>41</v>
      </c>
      <c r="D34" s="1" t="s">
        <v>42</v>
      </c>
      <c r="E34" s="1"/>
    </row>
    <row r="35" spans="1:5" x14ac:dyDescent="0.3">
      <c r="A35" t="s">
        <v>67</v>
      </c>
      <c r="B35" s="1">
        <v>45778</v>
      </c>
      <c r="C35" t="s">
        <v>82</v>
      </c>
      <c r="D35" t="s">
        <v>83</v>
      </c>
    </row>
    <row r="36" spans="1:5" x14ac:dyDescent="0.3">
      <c r="A36" t="s">
        <v>4</v>
      </c>
      <c r="B36" s="1">
        <v>45809</v>
      </c>
      <c r="C36" t="s">
        <v>43</v>
      </c>
      <c r="D36" s="1" t="s">
        <v>42</v>
      </c>
      <c r="E36" s="1"/>
    </row>
    <row r="37" spans="1:5" x14ac:dyDescent="0.3">
      <c r="A37" t="s">
        <v>67</v>
      </c>
      <c r="B37" s="1">
        <v>45809</v>
      </c>
      <c r="C37" t="s">
        <v>84</v>
      </c>
      <c r="D37" t="s">
        <v>72</v>
      </c>
    </row>
    <row r="38" spans="1:5" x14ac:dyDescent="0.3">
      <c r="A38" t="s">
        <v>4</v>
      </c>
      <c r="B38" s="1">
        <v>45839</v>
      </c>
      <c r="C38" t="s">
        <v>44</v>
      </c>
      <c r="D38" s="1" t="s">
        <v>45</v>
      </c>
      <c r="E38" s="1"/>
    </row>
    <row r="39" spans="1:5" x14ac:dyDescent="0.3">
      <c r="A39" t="s">
        <v>67</v>
      </c>
      <c r="B39" s="1">
        <v>45839</v>
      </c>
      <c r="C39" t="s">
        <v>85</v>
      </c>
      <c r="D39" t="s">
        <v>72</v>
      </c>
    </row>
    <row r="40" spans="1:5" x14ac:dyDescent="0.3">
      <c r="A40" t="s">
        <v>4</v>
      </c>
      <c r="B40" s="1">
        <v>45870</v>
      </c>
      <c r="C40" t="s">
        <v>46</v>
      </c>
      <c r="D40" s="1" t="s">
        <v>47</v>
      </c>
      <c r="E40" s="1"/>
    </row>
    <row r="41" spans="1:5" x14ac:dyDescent="0.3">
      <c r="A41" t="s">
        <v>67</v>
      </c>
      <c r="B41" s="1">
        <v>45870</v>
      </c>
      <c r="C41" t="s">
        <v>86</v>
      </c>
      <c r="D41" t="s">
        <v>72</v>
      </c>
    </row>
    <row r="42" spans="1:5" x14ac:dyDescent="0.3">
      <c r="A42" t="s">
        <v>4</v>
      </c>
      <c r="B42" s="1">
        <v>45901</v>
      </c>
      <c r="C42" t="s">
        <v>48</v>
      </c>
      <c r="D42" s="1" t="s">
        <v>42</v>
      </c>
      <c r="E42" s="1"/>
    </row>
    <row r="43" spans="1:5" x14ac:dyDescent="0.3">
      <c r="A43" t="s">
        <v>67</v>
      </c>
      <c r="B43" s="1">
        <v>45901</v>
      </c>
      <c r="C43" t="s">
        <v>87</v>
      </c>
      <c r="D43" t="s">
        <v>72</v>
      </c>
    </row>
    <row r="44" spans="1:5" x14ac:dyDescent="0.3">
      <c r="A44" t="s">
        <v>4</v>
      </c>
      <c r="B44" s="1">
        <v>45931</v>
      </c>
      <c r="C44" t="s">
        <v>49</v>
      </c>
      <c r="D44" s="1" t="s">
        <v>42</v>
      </c>
      <c r="E44" s="1"/>
    </row>
    <row r="45" spans="1:5" x14ac:dyDescent="0.3">
      <c r="A45" t="s">
        <v>67</v>
      </c>
      <c r="B45" s="1">
        <v>45931</v>
      </c>
      <c r="C45" t="s">
        <v>88</v>
      </c>
      <c r="D45" t="s">
        <v>89</v>
      </c>
    </row>
    <row r="46" spans="1:5" x14ac:dyDescent="0.3">
      <c r="A46" t="s">
        <v>4</v>
      </c>
      <c r="B46" s="1">
        <v>45962</v>
      </c>
      <c r="C46" t="s">
        <v>50</v>
      </c>
      <c r="D46" s="1" t="s">
        <v>42</v>
      </c>
      <c r="E46" s="1"/>
    </row>
    <row r="47" spans="1:5" x14ac:dyDescent="0.3">
      <c r="A47" t="s">
        <v>67</v>
      </c>
      <c r="B47" s="1">
        <v>45962</v>
      </c>
      <c r="C47" t="s">
        <v>90</v>
      </c>
      <c r="D47" t="s">
        <v>91</v>
      </c>
    </row>
    <row r="48" spans="1:5" x14ac:dyDescent="0.3">
      <c r="A48" t="s">
        <v>4</v>
      </c>
      <c r="B48" s="1">
        <v>45992</v>
      </c>
      <c r="C48" t="s">
        <v>51</v>
      </c>
      <c r="D48" s="1" t="s">
        <v>47</v>
      </c>
      <c r="E48" s="1"/>
    </row>
    <row r="49" spans="1:5" x14ac:dyDescent="0.3">
      <c r="A49" t="s">
        <v>67</v>
      </c>
      <c r="B49" s="1">
        <v>45992</v>
      </c>
      <c r="C49" t="s">
        <v>92</v>
      </c>
      <c r="D49" t="s">
        <v>93</v>
      </c>
    </row>
    <row r="50" spans="1:5" x14ac:dyDescent="0.3">
      <c r="A50" t="s">
        <v>4</v>
      </c>
      <c r="B50" s="1">
        <v>46023</v>
      </c>
      <c r="C50" t="s">
        <v>51</v>
      </c>
      <c r="D50" s="1" t="s">
        <v>47</v>
      </c>
      <c r="E50" s="1"/>
    </row>
    <row r="51" spans="1:5" x14ac:dyDescent="0.3">
      <c r="A51" t="s">
        <v>67</v>
      </c>
      <c r="B51" s="1">
        <v>46023</v>
      </c>
      <c r="C51" t="s">
        <v>94</v>
      </c>
      <c r="D51" t="s">
        <v>95</v>
      </c>
    </row>
    <row r="52" spans="1:5" x14ac:dyDescent="0.3">
      <c r="A52" t="s">
        <v>4</v>
      </c>
      <c r="B52" s="1">
        <v>46054</v>
      </c>
      <c r="C52" t="s">
        <v>52</v>
      </c>
      <c r="D52" s="1" t="s">
        <v>53</v>
      </c>
      <c r="E52" s="1"/>
    </row>
    <row r="53" spans="1:5" x14ac:dyDescent="0.3">
      <c r="A53" t="s">
        <v>67</v>
      </c>
      <c r="B53" s="1">
        <v>46054</v>
      </c>
      <c r="C53" t="s">
        <v>94</v>
      </c>
      <c r="D53" t="s">
        <v>95</v>
      </c>
    </row>
    <row r="54" spans="1:5" x14ac:dyDescent="0.3">
      <c r="A54" t="s">
        <v>4</v>
      </c>
      <c r="B54" s="1">
        <v>46082</v>
      </c>
      <c r="C54" t="s">
        <v>54</v>
      </c>
      <c r="D54" s="1" t="s">
        <v>55</v>
      </c>
      <c r="E54" s="1"/>
    </row>
    <row r="55" spans="1:5" x14ac:dyDescent="0.3">
      <c r="A55" t="s">
        <v>67</v>
      </c>
      <c r="B55" s="1">
        <v>46082</v>
      </c>
      <c r="C55" t="s">
        <v>96</v>
      </c>
      <c r="D55" t="s">
        <v>97</v>
      </c>
    </row>
    <row r="56" spans="1:5" x14ac:dyDescent="0.3">
      <c r="A56" t="s">
        <v>4</v>
      </c>
      <c r="B56" s="1">
        <v>46113</v>
      </c>
      <c r="C56" t="s">
        <v>56</v>
      </c>
      <c r="D56" s="1" t="s">
        <v>57</v>
      </c>
      <c r="E56" s="1"/>
    </row>
    <row r="57" spans="1:5" x14ac:dyDescent="0.3">
      <c r="A57" t="s">
        <v>67</v>
      </c>
      <c r="B57" s="1">
        <v>46113</v>
      </c>
      <c r="C57" s="2" t="s">
        <v>106</v>
      </c>
      <c r="D57" t="s">
        <v>98</v>
      </c>
    </row>
    <row r="58" spans="1:5" x14ac:dyDescent="0.3">
      <c r="A58" t="s">
        <v>4</v>
      </c>
      <c r="B58" s="1">
        <v>46143</v>
      </c>
      <c r="C58" t="s">
        <v>58</v>
      </c>
      <c r="D58" s="1" t="s">
        <v>57</v>
      </c>
      <c r="E58" s="1"/>
    </row>
    <row r="59" spans="1:5" x14ac:dyDescent="0.3">
      <c r="A59" t="s">
        <v>67</v>
      </c>
      <c r="B59" s="1">
        <v>46143</v>
      </c>
      <c r="C59" t="s">
        <v>99</v>
      </c>
      <c r="D59" t="s">
        <v>69</v>
      </c>
    </row>
    <row r="60" spans="1:5" x14ac:dyDescent="0.3">
      <c r="A60" t="s">
        <v>4</v>
      </c>
      <c r="B60" s="1">
        <v>46174</v>
      </c>
      <c r="C60" t="s">
        <v>59</v>
      </c>
      <c r="D60" s="1" t="s">
        <v>60</v>
      </c>
      <c r="E60" s="1"/>
    </row>
    <row r="61" spans="1:5" x14ac:dyDescent="0.3">
      <c r="A61" t="s">
        <v>67</v>
      </c>
      <c r="B61" s="1">
        <v>46174</v>
      </c>
      <c r="C61" t="s">
        <v>100</v>
      </c>
      <c r="D61" t="s">
        <v>101</v>
      </c>
    </row>
    <row r="62" spans="1:5" x14ac:dyDescent="0.3">
      <c r="A62" t="s">
        <v>4</v>
      </c>
      <c r="B62" s="1">
        <v>46204</v>
      </c>
      <c r="C62" t="s">
        <v>61</v>
      </c>
      <c r="D62" s="1" t="s">
        <v>62</v>
      </c>
      <c r="E62" s="1"/>
    </row>
    <row r="63" spans="1:5" x14ac:dyDescent="0.3">
      <c r="A63" t="s">
        <v>67</v>
      </c>
      <c r="B63" s="1">
        <v>46204</v>
      </c>
      <c r="C63" s="2" t="s">
        <v>107</v>
      </c>
      <c r="D63" t="s">
        <v>102</v>
      </c>
    </row>
    <row r="64" spans="1:5" x14ac:dyDescent="0.3">
      <c r="A64" t="s">
        <v>4</v>
      </c>
      <c r="B64" s="1">
        <v>46235</v>
      </c>
      <c r="C64" t="s">
        <v>63</v>
      </c>
      <c r="D64" s="1" t="s">
        <v>64</v>
      </c>
      <c r="E64" s="1"/>
    </row>
    <row r="65" spans="1:5" x14ac:dyDescent="0.3">
      <c r="A65" t="s">
        <v>67</v>
      </c>
      <c r="B65" s="1">
        <v>46235</v>
      </c>
      <c r="C65" s="2" t="s">
        <v>108</v>
      </c>
      <c r="D65" t="s">
        <v>103</v>
      </c>
    </row>
    <row r="66" spans="1:5" x14ac:dyDescent="0.3">
      <c r="A66" t="s">
        <v>4</v>
      </c>
      <c r="B66" s="1">
        <v>46266</v>
      </c>
      <c r="C66" t="s">
        <v>65</v>
      </c>
      <c r="D66" s="1" t="s">
        <v>66</v>
      </c>
      <c r="E66" s="1"/>
    </row>
    <row r="67" spans="1:5" x14ac:dyDescent="0.3">
      <c r="A67" t="s">
        <v>67</v>
      </c>
      <c r="B67" s="1">
        <v>46266</v>
      </c>
      <c r="C67" t="s">
        <v>104</v>
      </c>
      <c r="D67" t="s">
        <v>105</v>
      </c>
    </row>
  </sheetData>
  <sortState xmlns:xlrd2="http://schemas.microsoft.com/office/spreadsheetml/2017/richdata2" ref="A3:E67">
    <sortCondition ref="B2:B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0232-FFCE-445D-ADF9-DA902A1DA255}">
  <dimension ref="A1:B7"/>
  <sheetViews>
    <sheetView workbookViewId="0">
      <selection activeCell="B7" sqref="B7"/>
    </sheetView>
  </sheetViews>
  <sheetFormatPr defaultRowHeight="14.4" x14ac:dyDescent="0.3"/>
  <cols>
    <col min="1" max="1" width="11.88671875" customWidth="1"/>
    <col min="2" max="2" width="27.6640625" customWidth="1"/>
  </cols>
  <sheetData>
    <row r="1" spans="1:2" s="19" customFormat="1" x14ac:dyDescent="0.3">
      <c r="A1" s="19" t="s">
        <v>109</v>
      </c>
      <c r="B1" s="19" t="s">
        <v>200</v>
      </c>
    </row>
    <row r="2" spans="1:2" x14ac:dyDescent="0.3">
      <c r="A2" s="19" t="s">
        <v>117</v>
      </c>
      <c r="B2">
        <f>SUMIF('Company Revenue'!B2:B132, "Google", 'Company Revenue'!H2:H132)</f>
        <v>21030533052</v>
      </c>
    </row>
    <row r="3" spans="1:2" x14ac:dyDescent="0.3">
      <c r="A3" s="19" t="s">
        <v>120</v>
      </c>
      <c r="B3" s="35">
        <f>SUMIF('Company Revenue'!B3:B133, "Nvidia", 'Company Revenue'!H3:H133)</f>
        <v>238070935000</v>
      </c>
    </row>
    <row r="4" spans="1:2" x14ac:dyDescent="0.3">
      <c r="A4" s="19" t="s">
        <v>123</v>
      </c>
      <c r="B4">
        <f>SUMIF('Company Revenue'!B4:B134, "AMD", 'Company Revenue'!H4:H134)</f>
        <v>12534591200</v>
      </c>
    </row>
    <row r="5" spans="1:2" x14ac:dyDescent="0.3">
      <c r="A5" s="19" t="s">
        <v>127</v>
      </c>
      <c r="B5">
        <f>SUMIF('Company Revenue'!B4:B134, "Huawei", 'Company Revenue'!H4:H134)</f>
        <v>22000000000</v>
      </c>
    </row>
    <row r="6" spans="1:2" x14ac:dyDescent="0.3">
      <c r="A6" s="19" t="s">
        <v>130</v>
      </c>
      <c r="B6">
        <f>SUMIF('Company Revenue'!B4:B134, "Amazon", 'Company Revenue'!H4:H134)</f>
        <v>5560000000</v>
      </c>
    </row>
    <row r="7" spans="1:2" x14ac:dyDescent="0.3">
      <c r="A7" s="19" t="s">
        <v>201</v>
      </c>
      <c r="B7" s="35">
        <f>SUM(B2:B6)</f>
        <v>299196059252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A0D5-CECF-445A-81E2-EC26474E946A}">
  <dimension ref="A1:L133"/>
  <sheetViews>
    <sheetView topLeftCell="A84" workbookViewId="0">
      <selection activeCell="D113" sqref="D113"/>
    </sheetView>
  </sheetViews>
  <sheetFormatPr defaultRowHeight="14.4" x14ac:dyDescent="0.3"/>
  <cols>
    <col min="1" max="1" width="12.6640625" customWidth="1"/>
    <col min="2" max="2" width="20.88671875" customWidth="1"/>
    <col min="3" max="3" width="17" customWidth="1"/>
    <col min="4" max="4" width="19.21875" customWidth="1"/>
    <col min="5" max="5" width="10.21875" bestFit="1" customWidth="1"/>
    <col min="6" max="6" width="28.77734375" customWidth="1"/>
    <col min="7" max="7" width="17.33203125" customWidth="1"/>
    <col min="8" max="8" width="16.77734375" customWidth="1"/>
    <col min="12" max="12" width="18.21875" customWidth="1"/>
  </cols>
  <sheetData>
    <row r="1" spans="1:8" ht="16.2" customHeight="1" x14ac:dyDescent="0.3">
      <c r="A1" s="3" t="s">
        <v>179</v>
      </c>
      <c r="B1" s="3" t="s">
        <v>110</v>
      </c>
      <c r="C1" s="3" t="s">
        <v>114</v>
      </c>
      <c r="D1" s="3" t="s">
        <v>111</v>
      </c>
      <c r="E1" s="3" t="s">
        <v>112</v>
      </c>
      <c r="F1" s="3" t="s">
        <v>113</v>
      </c>
      <c r="G1" s="3" t="s">
        <v>115</v>
      </c>
      <c r="H1" s="3" t="s">
        <v>116</v>
      </c>
    </row>
    <row r="2" spans="1:8" x14ac:dyDescent="0.3">
      <c r="A2" s="4" t="s">
        <v>143</v>
      </c>
      <c r="B2" s="4" t="s">
        <v>117</v>
      </c>
      <c r="C2" s="4" t="s">
        <v>118</v>
      </c>
      <c r="D2" s="5">
        <v>45292</v>
      </c>
      <c r="E2" s="5">
        <v>45382</v>
      </c>
      <c r="F2" s="4">
        <v>417187</v>
      </c>
      <c r="G2" s="4" t="s">
        <v>151</v>
      </c>
      <c r="H2" s="4">
        <v>1128073648</v>
      </c>
    </row>
    <row r="3" spans="1:8" x14ac:dyDescent="0.3">
      <c r="A3" s="4" t="s">
        <v>143</v>
      </c>
      <c r="B3" s="4" t="s">
        <v>117</v>
      </c>
      <c r="C3" s="4" t="s">
        <v>119</v>
      </c>
      <c r="D3" s="5">
        <v>45292</v>
      </c>
      <c r="E3" s="5">
        <v>45382</v>
      </c>
      <c r="F3" s="4">
        <v>83355</v>
      </c>
      <c r="G3" s="4" t="s">
        <v>152</v>
      </c>
      <c r="H3" s="4">
        <v>501963810</v>
      </c>
    </row>
    <row r="4" spans="1:8" x14ac:dyDescent="0.3">
      <c r="A4" s="4" t="s">
        <v>143</v>
      </c>
      <c r="B4" s="4" t="s">
        <v>120</v>
      </c>
      <c r="C4" s="4" t="s">
        <v>121</v>
      </c>
      <c r="D4" s="5">
        <v>45292</v>
      </c>
      <c r="E4" s="5">
        <v>45382</v>
      </c>
      <c r="F4" s="4">
        <v>552252</v>
      </c>
      <c r="G4" s="4" t="s">
        <v>153</v>
      </c>
      <c r="H4" s="4">
        <v>13806300000</v>
      </c>
    </row>
    <row r="5" spans="1:8" x14ac:dyDescent="0.3">
      <c r="A5" s="4" t="s">
        <v>143</v>
      </c>
      <c r="B5" s="4" t="s">
        <v>120</v>
      </c>
      <c r="C5" s="4" t="s">
        <v>122</v>
      </c>
      <c r="D5" s="5">
        <v>45292</v>
      </c>
      <c r="E5" s="5">
        <v>45382</v>
      </c>
      <c r="F5" s="4">
        <v>138719</v>
      </c>
      <c r="G5" s="4" t="s">
        <v>154</v>
      </c>
      <c r="H5" s="4">
        <v>1664628000</v>
      </c>
    </row>
    <row r="6" spans="1:8" x14ac:dyDescent="0.3">
      <c r="A6" s="4" t="s">
        <v>143</v>
      </c>
      <c r="B6" s="4" t="s">
        <v>123</v>
      </c>
      <c r="C6" s="4" t="s">
        <v>124</v>
      </c>
      <c r="D6" s="5">
        <v>45292</v>
      </c>
      <c r="E6" s="5">
        <v>45382</v>
      </c>
      <c r="F6" s="4">
        <v>30379</v>
      </c>
      <c r="G6" s="4" t="s">
        <v>155</v>
      </c>
      <c r="H6" s="4">
        <v>303790000</v>
      </c>
    </row>
    <row r="7" spans="1:8" x14ac:dyDescent="0.3">
      <c r="A7" s="4" t="s">
        <v>143</v>
      </c>
      <c r="B7" s="4" t="s">
        <v>123</v>
      </c>
      <c r="C7" s="4" t="s">
        <v>125</v>
      </c>
      <c r="D7" s="5">
        <v>45292</v>
      </c>
      <c r="E7" s="5">
        <v>45382</v>
      </c>
      <c r="F7" s="4">
        <v>34535</v>
      </c>
      <c r="G7" s="4" t="s">
        <v>156</v>
      </c>
      <c r="H7" s="4">
        <v>431687500</v>
      </c>
    </row>
    <row r="8" spans="1:8" x14ac:dyDescent="0.3">
      <c r="A8" s="4" t="s">
        <v>143</v>
      </c>
      <c r="B8" s="4" t="s">
        <v>123</v>
      </c>
      <c r="C8" s="4" t="s">
        <v>126</v>
      </c>
      <c r="D8" s="5">
        <v>45292</v>
      </c>
      <c r="E8" s="5">
        <v>45382</v>
      </c>
      <c r="F8" s="4">
        <v>3562</v>
      </c>
      <c r="G8" s="4" t="s">
        <v>157</v>
      </c>
      <c r="H8" s="4">
        <v>23865400</v>
      </c>
    </row>
    <row r="9" spans="1:8" x14ac:dyDescent="0.3">
      <c r="A9" s="4" t="s">
        <v>143</v>
      </c>
      <c r="B9" s="4" t="s">
        <v>127</v>
      </c>
      <c r="C9" s="4" t="s">
        <v>128</v>
      </c>
      <c r="D9" s="5">
        <v>45292</v>
      </c>
      <c r="E9" s="5">
        <v>45382</v>
      </c>
      <c r="F9" s="4">
        <v>100000</v>
      </c>
      <c r="G9" s="4" t="s">
        <v>158</v>
      </c>
      <c r="H9" s="4">
        <v>1500000000</v>
      </c>
    </row>
    <row r="10" spans="1:8" x14ac:dyDescent="0.3">
      <c r="A10" s="4" t="s">
        <v>143</v>
      </c>
      <c r="B10" s="4" t="s">
        <v>127</v>
      </c>
      <c r="C10" s="4" t="s">
        <v>129</v>
      </c>
      <c r="D10" s="5">
        <v>45292</v>
      </c>
      <c r="E10" s="5">
        <v>45382</v>
      </c>
      <c r="F10" s="4">
        <v>12500</v>
      </c>
      <c r="G10" s="4" t="s">
        <v>159</v>
      </c>
      <c r="H10" s="4">
        <v>250000000</v>
      </c>
    </row>
    <row r="11" spans="1:8" x14ac:dyDescent="0.3">
      <c r="A11" s="4" t="s">
        <v>143</v>
      </c>
      <c r="B11" s="4" t="s">
        <v>130</v>
      </c>
      <c r="C11" s="4" t="s">
        <v>131</v>
      </c>
      <c r="D11" s="5">
        <v>45292</v>
      </c>
      <c r="E11" s="5">
        <v>45382</v>
      </c>
      <c r="F11" s="4">
        <v>110000</v>
      </c>
      <c r="G11" s="4"/>
      <c r="H11" s="4">
        <v>0</v>
      </c>
    </row>
    <row r="12" spans="1:8" x14ac:dyDescent="0.3">
      <c r="A12" s="4" t="s">
        <v>143</v>
      </c>
      <c r="B12" s="4" t="s">
        <v>130</v>
      </c>
      <c r="C12" s="4" t="s">
        <v>132</v>
      </c>
      <c r="D12" s="5">
        <v>45292</v>
      </c>
      <c r="E12" s="5">
        <v>45382</v>
      </c>
      <c r="F12" s="4">
        <v>15000</v>
      </c>
      <c r="G12" s="4" t="s">
        <v>160</v>
      </c>
      <c r="H12" s="4">
        <v>60000000</v>
      </c>
    </row>
    <row r="13" spans="1:8" x14ac:dyDescent="0.3">
      <c r="A13" s="4" t="s">
        <v>143</v>
      </c>
      <c r="B13" s="4" t="s">
        <v>133</v>
      </c>
      <c r="C13" s="4" t="s">
        <v>134</v>
      </c>
      <c r="D13" s="5">
        <v>45292</v>
      </c>
      <c r="E13" s="5">
        <v>45382</v>
      </c>
      <c r="F13" s="4">
        <v>547</v>
      </c>
      <c r="G13" s="4"/>
      <c r="H13" s="4">
        <v>0</v>
      </c>
    </row>
    <row r="14" spans="1:8" x14ac:dyDescent="0.3">
      <c r="A14" s="4" t="s">
        <v>144</v>
      </c>
      <c r="B14" s="4" t="s">
        <v>117</v>
      </c>
      <c r="C14" s="4" t="s">
        <v>118</v>
      </c>
      <c r="D14" s="5">
        <v>45383</v>
      </c>
      <c r="E14" s="5">
        <v>45473</v>
      </c>
      <c r="F14" s="4">
        <v>374471</v>
      </c>
      <c r="G14" s="4" t="s">
        <v>151</v>
      </c>
      <c r="H14" s="4">
        <v>1012569584</v>
      </c>
    </row>
    <row r="15" spans="1:8" x14ac:dyDescent="0.3">
      <c r="A15" s="4" t="s">
        <v>144</v>
      </c>
      <c r="B15" s="4" t="s">
        <v>117</v>
      </c>
      <c r="C15" s="4" t="s">
        <v>119</v>
      </c>
      <c r="D15" s="5">
        <v>45383</v>
      </c>
      <c r="E15" s="5">
        <v>45473</v>
      </c>
      <c r="F15" s="4">
        <v>144145</v>
      </c>
      <c r="G15" s="4" t="s">
        <v>152</v>
      </c>
      <c r="H15" s="4">
        <v>868041190</v>
      </c>
    </row>
    <row r="16" spans="1:8" x14ac:dyDescent="0.3">
      <c r="A16" s="4" t="s">
        <v>144</v>
      </c>
      <c r="B16" s="4" t="s">
        <v>120</v>
      </c>
      <c r="C16" s="4" t="s">
        <v>121</v>
      </c>
      <c r="D16" s="5">
        <v>45383</v>
      </c>
      <c r="E16" s="5">
        <v>45473</v>
      </c>
      <c r="F16" s="4">
        <v>650874</v>
      </c>
      <c r="G16" s="4" t="s">
        <v>153</v>
      </c>
      <c r="H16" s="4">
        <v>16271850000</v>
      </c>
    </row>
    <row r="17" spans="1:8" x14ac:dyDescent="0.3">
      <c r="A17" s="4" t="s">
        <v>144</v>
      </c>
      <c r="B17" s="4" t="s">
        <v>120</v>
      </c>
      <c r="C17" s="4" t="s">
        <v>122</v>
      </c>
      <c r="D17" s="5">
        <v>45383</v>
      </c>
      <c r="E17" s="5">
        <v>45473</v>
      </c>
      <c r="F17" s="4">
        <v>223064</v>
      </c>
      <c r="G17" s="4" t="s">
        <v>154</v>
      </c>
      <c r="H17" s="4">
        <v>2676768000</v>
      </c>
    </row>
    <row r="18" spans="1:8" x14ac:dyDescent="0.3">
      <c r="A18" s="4" t="s">
        <v>144</v>
      </c>
      <c r="B18" s="4" t="s">
        <v>123</v>
      </c>
      <c r="C18" s="4" t="s">
        <v>124</v>
      </c>
      <c r="D18" s="5">
        <v>45383</v>
      </c>
      <c r="E18" s="5">
        <v>45473</v>
      </c>
      <c r="F18" s="4">
        <v>6596</v>
      </c>
      <c r="G18" s="4" t="s">
        <v>155</v>
      </c>
      <c r="H18" s="4">
        <v>65960000</v>
      </c>
    </row>
    <row r="19" spans="1:8" x14ac:dyDescent="0.3">
      <c r="A19" s="4" t="s">
        <v>144</v>
      </c>
      <c r="B19" s="4" t="s">
        <v>123</v>
      </c>
      <c r="C19" s="4" t="s">
        <v>125</v>
      </c>
      <c r="D19" s="5">
        <v>45383</v>
      </c>
      <c r="E19" s="5">
        <v>45473</v>
      </c>
      <c r="F19" s="4">
        <v>80709</v>
      </c>
      <c r="G19" s="4" t="s">
        <v>156</v>
      </c>
      <c r="H19" s="4">
        <v>1008862500</v>
      </c>
    </row>
    <row r="20" spans="1:8" x14ac:dyDescent="0.3">
      <c r="A20" s="4" t="s">
        <v>144</v>
      </c>
      <c r="B20" s="4" t="s">
        <v>123</v>
      </c>
      <c r="C20" s="4" t="s">
        <v>126</v>
      </c>
      <c r="D20" s="5">
        <v>45383</v>
      </c>
      <c r="E20" s="5">
        <v>45473</v>
      </c>
      <c r="F20" s="4">
        <v>10732</v>
      </c>
      <c r="G20" s="4" t="s">
        <v>157</v>
      </c>
      <c r="H20" s="4">
        <v>71904400</v>
      </c>
    </row>
    <row r="21" spans="1:8" x14ac:dyDescent="0.3">
      <c r="A21" s="4" t="s">
        <v>144</v>
      </c>
      <c r="B21" s="4" t="s">
        <v>127</v>
      </c>
      <c r="C21" s="4" t="s">
        <v>128</v>
      </c>
      <c r="D21" s="5">
        <v>45383</v>
      </c>
      <c r="E21" s="5">
        <v>45473</v>
      </c>
      <c r="F21" s="4">
        <v>100000</v>
      </c>
      <c r="G21" s="4" t="s">
        <v>158</v>
      </c>
      <c r="H21" s="4">
        <v>1500000000</v>
      </c>
    </row>
    <row r="22" spans="1:8" x14ac:dyDescent="0.3">
      <c r="A22" s="4" t="s">
        <v>144</v>
      </c>
      <c r="B22" s="4" t="s">
        <v>127</v>
      </c>
      <c r="C22" s="4" t="s">
        <v>129</v>
      </c>
      <c r="D22" s="5">
        <v>45383</v>
      </c>
      <c r="E22" s="5">
        <v>45473</v>
      </c>
      <c r="F22" s="4">
        <v>12500</v>
      </c>
      <c r="G22" s="4" t="s">
        <v>159</v>
      </c>
      <c r="H22" s="4">
        <v>250000000</v>
      </c>
    </row>
    <row r="23" spans="1:8" x14ac:dyDescent="0.3">
      <c r="A23" s="4" t="s">
        <v>144</v>
      </c>
      <c r="B23" s="4" t="s">
        <v>130</v>
      </c>
      <c r="C23" s="4" t="s">
        <v>131</v>
      </c>
      <c r="D23" s="5">
        <v>45383</v>
      </c>
      <c r="E23" s="5">
        <v>45473</v>
      </c>
      <c r="F23" s="4">
        <v>110000</v>
      </c>
      <c r="G23" s="4"/>
      <c r="H23" s="4">
        <v>0</v>
      </c>
    </row>
    <row r="24" spans="1:8" x14ac:dyDescent="0.3">
      <c r="A24" s="4" t="s">
        <v>144</v>
      </c>
      <c r="B24" s="4" t="s">
        <v>130</v>
      </c>
      <c r="C24" s="4" t="s">
        <v>132</v>
      </c>
      <c r="D24" s="5">
        <v>45383</v>
      </c>
      <c r="E24" s="5">
        <v>45473</v>
      </c>
      <c r="F24" s="4">
        <v>30000</v>
      </c>
      <c r="G24" s="4" t="s">
        <v>160</v>
      </c>
      <c r="H24" s="4">
        <v>120000000</v>
      </c>
    </row>
    <row r="25" spans="1:8" x14ac:dyDescent="0.3">
      <c r="A25" s="4" t="s">
        <v>144</v>
      </c>
      <c r="B25" s="4" t="s">
        <v>133</v>
      </c>
      <c r="C25" s="4" t="s">
        <v>134</v>
      </c>
      <c r="D25" s="5">
        <v>45383</v>
      </c>
      <c r="E25" s="5">
        <v>45473</v>
      </c>
      <c r="F25" s="4">
        <v>832</v>
      </c>
      <c r="G25" s="4"/>
      <c r="H25" s="4">
        <v>0</v>
      </c>
    </row>
    <row r="26" spans="1:8" x14ac:dyDescent="0.3">
      <c r="A26" s="4" t="s">
        <v>145</v>
      </c>
      <c r="B26" s="4" t="s">
        <v>117</v>
      </c>
      <c r="C26" s="4" t="s">
        <v>118</v>
      </c>
      <c r="D26" s="5">
        <v>45474</v>
      </c>
      <c r="E26" s="5">
        <v>45565</v>
      </c>
      <c r="F26" s="4">
        <v>356808</v>
      </c>
      <c r="G26" s="4" t="s">
        <v>151</v>
      </c>
      <c r="H26" s="4">
        <v>964808832</v>
      </c>
    </row>
    <row r="27" spans="1:8" x14ac:dyDescent="0.3">
      <c r="A27" s="4" t="s">
        <v>145</v>
      </c>
      <c r="B27" s="4" t="s">
        <v>117</v>
      </c>
      <c r="C27" s="4" t="s">
        <v>119</v>
      </c>
      <c r="D27" s="5">
        <v>45474</v>
      </c>
      <c r="E27" s="5">
        <v>45565</v>
      </c>
      <c r="F27" s="4">
        <v>159613</v>
      </c>
      <c r="G27" s="4" t="s">
        <v>152</v>
      </c>
      <c r="H27" s="4">
        <v>961189486</v>
      </c>
    </row>
    <row r="28" spans="1:8" x14ac:dyDescent="0.3">
      <c r="A28" s="4" t="s">
        <v>145</v>
      </c>
      <c r="B28" s="4" t="s">
        <v>117</v>
      </c>
      <c r="C28" s="4" t="s">
        <v>135</v>
      </c>
      <c r="D28" s="5">
        <v>45474</v>
      </c>
      <c r="E28" s="5">
        <v>45565</v>
      </c>
      <c r="F28" s="4">
        <v>40715</v>
      </c>
      <c r="G28" s="4" t="s">
        <v>161</v>
      </c>
      <c r="H28" s="4">
        <v>165262185</v>
      </c>
    </row>
    <row r="29" spans="1:8" x14ac:dyDescent="0.3">
      <c r="A29" s="4" t="s">
        <v>145</v>
      </c>
      <c r="B29" s="4" t="s">
        <v>120</v>
      </c>
      <c r="C29" s="4" t="s">
        <v>121</v>
      </c>
      <c r="D29" s="5">
        <v>45474</v>
      </c>
      <c r="E29" s="5">
        <v>45565</v>
      </c>
      <c r="F29" s="4">
        <v>794383</v>
      </c>
      <c r="G29" s="4" t="s">
        <v>153</v>
      </c>
      <c r="H29" s="4">
        <v>19859575000</v>
      </c>
    </row>
    <row r="30" spans="1:8" x14ac:dyDescent="0.3">
      <c r="A30" s="4" t="s">
        <v>145</v>
      </c>
      <c r="B30" s="4" t="s">
        <v>120</v>
      </c>
      <c r="C30" s="4" t="s">
        <v>122</v>
      </c>
      <c r="D30" s="5">
        <v>45474</v>
      </c>
      <c r="E30" s="5">
        <v>45565</v>
      </c>
      <c r="F30" s="4">
        <v>272247</v>
      </c>
      <c r="G30" s="4" t="s">
        <v>154</v>
      </c>
      <c r="H30" s="4">
        <v>3266964000</v>
      </c>
    </row>
    <row r="31" spans="1:8" x14ac:dyDescent="0.3">
      <c r="A31" s="4" t="s">
        <v>145</v>
      </c>
      <c r="B31" s="4" t="s">
        <v>123</v>
      </c>
      <c r="C31" s="4" t="s">
        <v>124</v>
      </c>
      <c r="D31" s="5">
        <v>45474</v>
      </c>
      <c r="E31" s="5">
        <v>45565</v>
      </c>
      <c r="F31" s="4">
        <v>4385</v>
      </c>
      <c r="G31" s="4" t="s">
        <v>155</v>
      </c>
      <c r="H31" s="4">
        <v>43850000</v>
      </c>
    </row>
    <row r="32" spans="1:8" x14ac:dyDescent="0.3">
      <c r="A32" s="4" t="s">
        <v>145</v>
      </c>
      <c r="B32" s="4" t="s">
        <v>123</v>
      </c>
      <c r="C32" s="4" t="s">
        <v>125</v>
      </c>
      <c r="D32" s="5">
        <v>45474</v>
      </c>
      <c r="E32" s="5">
        <v>45565</v>
      </c>
      <c r="F32" s="4">
        <v>95258</v>
      </c>
      <c r="G32" s="4" t="s">
        <v>156</v>
      </c>
      <c r="H32" s="4">
        <v>1190725000</v>
      </c>
    </row>
    <row r="33" spans="1:8" x14ac:dyDescent="0.3">
      <c r="A33" s="4" t="s">
        <v>145</v>
      </c>
      <c r="B33" s="4" t="s">
        <v>123</v>
      </c>
      <c r="C33" s="4" t="s">
        <v>126</v>
      </c>
      <c r="D33" s="5">
        <v>45474</v>
      </c>
      <c r="E33" s="5">
        <v>45565</v>
      </c>
      <c r="F33" s="4">
        <v>43161</v>
      </c>
      <c r="G33" s="4" t="s">
        <v>157</v>
      </c>
      <c r="H33" s="4">
        <v>289178700</v>
      </c>
    </row>
    <row r="34" spans="1:8" x14ac:dyDescent="0.3">
      <c r="A34" s="4" t="s">
        <v>145</v>
      </c>
      <c r="B34" s="4" t="s">
        <v>127</v>
      </c>
      <c r="C34" s="4" t="s">
        <v>128</v>
      </c>
      <c r="D34" s="5">
        <v>45474</v>
      </c>
      <c r="E34" s="5">
        <v>45565</v>
      </c>
      <c r="F34" s="4">
        <v>100000</v>
      </c>
      <c r="G34" s="4" t="s">
        <v>158</v>
      </c>
      <c r="H34" s="4">
        <v>1500000000</v>
      </c>
    </row>
    <row r="35" spans="1:8" x14ac:dyDescent="0.3">
      <c r="A35" s="4" t="s">
        <v>145</v>
      </c>
      <c r="B35" s="4" t="s">
        <v>127</v>
      </c>
      <c r="C35" s="4" t="s">
        <v>129</v>
      </c>
      <c r="D35" s="5">
        <v>45474</v>
      </c>
      <c r="E35" s="5">
        <v>45565</v>
      </c>
      <c r="F35" s="4">
        <v>12500</v>
      </c>
      <c r="G35" s="4" t="s">
        <v>159</v>
      </c>
      <c r="H35" s="4">
        <v>250000000</v>
      </c>
    </row>
    <row r="36" spans="1:8" x14ac:dyDescent="0.3">
      <c r="A36" s="4" t="s">
        <v>145</v>
      </c>
      <c r="B36" s="4" t="s">
        <v>130</v>
      </c>
      <c r="C36" s="4" t="s">
        <v>131</v>
      </c>
      <c r="D36" s="5">
        <v>45474</v>
      </c>
      <c r="E36" s="5">
        <v>45565</v>
      </c>
      <c r="F36" s="4">
        <v>110000</v>
      </c>
      <c r="G36" s="4"/>
      <c r="H36" s="4">
        <v>0</v>
      </c>
    </row>
    <row r="37" spans="1:8" x14ac:dyDescent="0.3">
      <c r="A37" s="4" t="s">
        <v>145</v>
      </c>
      <c r="B37" s="4" t="s">
        <v>130</v>
      </c>
      <c r="C37" s="4" t="s">
        <v>132</v>
      </c>
      <c r="D37" s="5">
        <v>45474</v>
      </c>
      <c r="E37" s="5">
        <v>45565</v>
      </c>
      <c r="F37" s="4">
        <v>80000</v>
      </c>
      <c r="G37" s="4" t="s">
        <v>160</v>
      </c>
      <c r="H37" s="4">
        <v>320000000</v>
      </c>
    </row>
    <row r="38" spans="1:8" x14ac:dyDescent="0.3">
      <c r="A38" s="4" t="s">
        <v>145</v>
      </c>
      <c r="B38" s="4" t="s">
        <v>133</v>
      </c>
      <c r="C38" s="4" t="s">
        <v>134</v>
      </c>
      <c r="D38" s="5">
        <v>45474</v>
      </c>
      <c r="E38" s="5">
        <v>45565</v>
      </c>
      <c r="F38" s="4">
        <v>2565</v>
      </c>
      <c r="G38" s="4"/>
      <c r="H38" s="4">
        <v>0</v>
      </c>
    </row>
    <row r="39" spans="1:8" x14ac:dyDescent="0.3">
      <c r="A39" s="4" t="s">
        <v>146</v>
      </c>
      <c r="B39" s="4" t="s">
        <v>117</v>
      </c>
      <c r="C39" s="4" t="s">
        <v>118</v>
      </c>
      <c r="D39" s="5">
        <v>45566</v>
      </c>
      <c r="E39" s="5">
        <v>45657</v>
      </c>
      <c r="F39" s="4">
        <v>300383</v>
      </c>
      <c r="G39" s="4" t="s">
        <v>151</v>
      </c>
      <c r="H39" s="4">
        <v>812235632</v>
      </c>
    </row>
    <row r="40" spans="1:8" x14ac:dyDescent="0.3">
      <c r="A40" s="4" t="s">
        <v>146</v>
      </c>
      <c r="B40" s="4" t="s">
        <v>117</v>
      </c>
      <c r="C40" s="4" t="s">
        <v>119</v>
      </c>
      <c r="D40" s="5">
        <v>45566</v>
      </c>
      <c r="E40" s="5">
        <v>45657</v>
      </c>
      <c r="F40" s="4">
        <v>134088</v>
      </c>
      <c r="G40" s="4" t="s">
        <v>152</v>
      </c>
      <c r="H40" s="4">
        <v>807477936</v>
      </c>
    </row>
    <row r="41" spans="1:8" x14ac:dyDescent="0.3">
      <c r="A41" s="4" t="s">
        <v>146</v>
      </c>
      <c r="B41" s="4" t="s">
        <v>117</v>
      </c>
      <c r="C41" s="4" t="s">
        <v>135</v>
      </c>
      <c r="D41" s="5">
        <v>45566</v>
      </c>
      <c r="E41" s="5">
        <v>45657</v>
      </c>
      <c r="F41" s="4">
        <v>174092</v>
      </c>
      <c r="G41" s="4" t="s">
        <v>161</v>
      </c>
      <c r="H41" s="4">
        <v>706639428</v>
      </c>
    </row>
    <row r="42" spans="1:8" x14ac:dyDescent="0.3">
      <c r="A42" s="4" t="s">
        <v>146</v>
      </c>
      <c r="B42" s="4" t="s">
        <v>120</v>
      </c>
      <c r="C42" s="4" t="s">
        <v>121</v>
      </c>
      <c r="D42" s="5">
        <v>45566</v>
      </c>
      <c r="E42" s="5">
        <v>45657</v>
      </c>
      <c r="F42" s="4">
        <v>681105</v>
      </c>
      <c r="G42" s="4" t="s">
        <v>153</v>
      </c>
      <c r="H42" s="4">
        <v>17027625000</v>
      </c>
    </row>
    <row r="43" spans="1:8" x14ac:dyDescent="0.3">
      <c r="A43" s="4" t="s">
        <v>146</v>
      </c>
      <c r="B43" s="4" t="s">
        <v>120</v>
      </c>
      <c r="C43" s="4" t="s">
        <v>122</v>
      </c>
      <c r="D43" s="5">
        <v>45566</v>
      </c>
      <c r="E43" s="5">
        <v>45657</v>
      </c>
      <c r="F43" s="4">
        <v>324380</v>
      </c>
      <c r="G43" s="4" t="s">
        <v>154</v>
      </c>
      <c r="H43" s="4">
        <v>3892560000</v>
      </c>
    </row>
    <row r="44" spans="1:8" x14ac:dyDescent="0.3">
      <c r="A44" s="4" t="s">
        <v>146</v>
      </c>
      <c r="B44" s="4" t="s">
        <v>120</v>
      </c>
      <c r="C44" s="4" t="s">
        <v>136</v>
      </c>
      <c r="D44" s="5">
        <v>45566</v>
      </c>
      <c r="E44" s="5">
        <v>45657</v>
      </c>
      <c r="F44" s="4">
        <v>200737</v>
      </c>
      <c r="G44" s="4" t="s">
        <v>162</v>
      </c>
      <c r="H44" s="4">
        <v>7427269000</v>
      </c>
    </row>
    <row r="45" spans="1:8" x14ac:dyDescent="0.3">
      <c r="A45" s="4" t="s">
        <v>146</v>
      </c>
      <c r="B45" s="4" t="s">
        <v>123</v>
      </c>
      <c r="C45" s="4" t="s">
        <v>124</v>
      </c>
      <c r="D45" s="5">
        <v>45566</v>
      </c>
      <c r="E45" s="5">
        <v>45657</v>
      </c>
      <c r="F45" s="4">
        <v>3566</v>
      </c>
      <c r="G45" s="4" t="s">
        <v>155</v>
      </c>
      <c r="H45" s="4">
        <v>35660000</v>
      </c>
    </row>
    <row r="46" spans="1:8" x14ac:dyDescent="0.3">
      <c r="A46" s="4" t="s">
        <v>146</v>
      </c>
      <c r="B46" s="4" t="s">
        <v>123</v>
      </c>
      <c r="C46" s="4" t="s">
        <v>125</v>
      </c>
      <c r="D46" s="5">
        <v>45566</v>
      </c>
      <c r="E46" s="5">
        <v>45657</v>
      </c>
      <c r="F46" s="4">
        <v>115619</v>
      </c>
      <c r="G46" s="4" t="s">
        <v>156</v>
      </c>
      <c r="H46" s="4">
        <v>1445237500</v>
      </c>
    </row>
    <row r="47" spans="1:8" x14ac:dyDescent="0.3">
      <c r="A47" s="4" t="s">
        <v>146</v>
      </c>
      <c r="B47" s="4" t="s">
        <v>123</v>
      </c>
      <c r="C47" s="4" t="s">
        <v>126</v>
      </c>
      <c r="D47" s="5">
        <v>45566</v>
      </c>
      <c r="E47" s="5">
        <v>45657</v>
      </c>
      <c r="F47" s="4">
        <v>52349</v>
      </c>
      <c r="G47" s="4" t="s">
        <v>157</v>
      </c>
      <c r="H47" s="4">
        <v>350738300</v>
      </c>
    </row>
    <row r="48" spans="1:8" x14ac:dyDescent="0.3">
      <c r="A48" s="4" t="s">
        <v>146</v>
      </c>
      <c r="B48" s="4" t="s">
        <v>127</v>
      </c>
      <c r="C48" s="4" t="s">
        <v>128</v>
      </c>
      <c r="D48" s="5">
        <v>45566</v>
      </c>
      <c r="E48" s="5">
        <v>45657</v>
      </c>
      <c r="F48" s="4">
        <v>100000</v>
      </c>
      <c r="G48" s="4" t="s">
        <v>158</v>
      </c>
      <c r="H48" s="4">
        <v>1500000000</v>
      </c>
    </row>
    <row r="49" spans="1:8" x14ac:dyDescent="0.3">
      <c r="A49" s="4" t="s">
        <v>146</v>
      </c>
      <c r="B49" s="4" t="s">
        <v>127</v>
      </c>
      <c r="C49" s="4" t="s">
        <v>129</v>
      </c>
      <c r="D49" s="5">
        <v>45566</v>
      </c>
      <c r="E49" s="5">
        <v>45657</v>
      </c>
      <c r="F49" s="4">
        <v>12500</v>
      </c>
      <c r="G49" s="4" t="s">
        <v>159</v>
      </c>
      <c r="H49" s="4">
        <v>250000000</v>
      </c>
    </row>
    <row r="50" spans="1:8" x14ac:dyDescent="0.3">
      <c r="A50" s="4" t="s">
        <v>146</v>
      </c>
      <c r="B50" s="4" t="s">
        <v>130</v>
      </c>
      <c r="C50" s="4" t="s">
        <v>131</v>
      </c>
      <c r="D50" s="5">
        <v>45566</v>
      </c>
      <c r="E50" s="5">
        <v>45657</v>
      </c>
      <c r="F50" s="4">
        <v>110000</v>
      </c>
      <c r="G50" s="4"/>
      <c r="H50" s="4">
        <v>0</v>
      </c>
    </row>
    <row r="51" spans="1:8" x14ac:dyDescent="0.3">
      <c r="A51" s="4" t="s">
        <v>146</v>
      </c>
      <c r="B51" s="4" t="s">
        <v>130</v>
      </c>
      <c r="C51" s="4" t="s">
        <v>132</v>
      </c>
      <c r="D51" s="5">
        <v>45566</v>
      </c>
      <c r="E51" s="5">
        <v>45657</v>
      </c>
      <c r="F51" s="4">
        <v>190000</v>
      </c>
      <c r="G51" s="4" t="s">
        <v>160</v>
      </c>
      <c r="H51" s="4">
        <v>760000000</v>
      </c>
    </row>
    <row r="52" spans="1:8" x14ac:dyDescent="0.3">
      <c r="A52" s="4" t="s">
        <v>146</v>
      </c>
      <c r="B52" s="4" t="s">
        <v>133</v>
      </c>
      <c r="C52" s="4" t="s">
        <v>134</v>
      </c>
      <c r="D52" s="5">
        <v>45566</v>
      </c>
      <c r="E52" s="5">
        <v>45657</v>
      </c>
      <c r="F52" s="4">
        <v>21056</v>
      </c>
      <c r="G52" s="4"/>
      <c r="H52" s="4">
        <v>0</v>
      </c>
    </row>
    <row r="53" spans="1:8" x14ac:dyDescent="0.3">
      <c r="A53" s="4" t="s">
        <v>147</v>
      </c>
      <c r="B53" s="4" t="s">
        <v>117</v>
      </c>
      <c r="C53" s="4" t="s">
        <v>118</v>
      </c>
      <c r="D53" s="5">
        <v>45658</v>
      </c>
      <c r="E53" s="5">
        <v>45747</v>
      </c>
      <c r="F53" s="4">
        <v>95723</v>
      </c>
      <c r="G53" s="4" t="s">
        <v>151</v>
      </c>
      <c r="H53" s="4">
        <v>258834992</v>
      </c>
    </row>
    <row r="54" spans="1:8" x14ac:dyDescent="0.3">
      <c r="A54" s="4" t="s">
        <v>147</v>
      </c>
      <c r="B54" s="4" t="s">
        <v>117</v>
      </c>
      <c r="C54" s="4" t="s">
        <v>119</v>
      </c>
      <c r="D54" s="5">
        <v>45658</v>
      </c>
      <c r="E54" s="5">
        <v>45747</v>
      </c>
      <c r="F54" s="4">
        <v>95134</v>
      </c>
      <c r="G54" s="4" t="s">
        <v>152</v>
      </c>
      <c r="H54" s="4">
        <v>572896948</v>
      </c>
    </row>
    <row r="55" spans="1:8" x14ac:dyDescent="0.3">
      <c r="A55" s="4" t="s">
        <v>147</v>
      </c>
      <c r="B55" s="4" t="s">
        <v>117</v>
      </c>
      <c r="C55" s="4" t="s">
        <v>135</v>
      </c>
      <c r="D55" s="5">
        <v>45658</v>
      </c>
      <c r="E55" s="5">
        <v>45747</v>
      </c>
      <c r="F55" s="4">
        <v>407148</v>
      </c>
      <c r="G55" s="4" t="s">
        <v>161</v>
      </c>
      <c r="H55" s="4">
        <v>1652613732</v>
      </c>
    </row>
    <row r="56" spans="1:8" x14ac:dyDescent="0.3">
      <c r="A56" s="4" t="s">
        <v>147</v>
      </c>
      <c r="B56" s="4" t="s">
        <v>120</v>
      </c>
      <c r="C56" s="4" t="s">
        <v>121</v>
      </c>
      <c r="D56" s="5">
        <v>45658</v>
      </c>
      <c r="E56" s="5">
        <v>45747</v>
      </c>
      <c r="F56" s="4">
        <v>329018</v>
      </c>
      <c r="G56" s="4" t="s">
        <v>153</v>
      </c>
      <c r="H56" s="4">
        <v>8225450000</v>
      </c>
    </row>
    <row r="57" spans="1:8" x14ac:dyDescent="0.3">
      <c r="A57" s="4" t="s">
        <v>147</v>
      </c>
      <c r="B57" s="4" t="s">
        <v>120</v>
      </c>
      <c r="C57" s="4" t="s">
        <v>122</v>
      </c>
      <c r="D57" s="5">
        <v>45658</v>
      </c>
      <c r="E57" s="5">
        <v>45747</v>
      </c>
      <c r="F57" s="4">
        <v>361677</v>
      </c>
      <c r="G57" s="4" t="s">
        <v>154</v>
      </c>
      <c r="H57" s="4">
        <v>4340124000</v>
      </c>
    </row>
    <row r="58" spans="1:8" x14ac:dyDescent="0.3">
      <c r="A58" s="4" t="s">
        <v>147</v>
      </c>
      <c r="B58" s="4" t="s">
        <v>120</v>
      </c>
      <c r="C58" s="4" t="s">
        <v>136</v>
      </c>
      <c r="D58" s="5">
        <v>45658</v>
      </c>
      <c r="E58" s="5">
        <v>45747</v>
      </c>
      <c r="F58" s="4">
        <v>519632</v>
      </c>
      <c r="G58" s="4" t="s">
        <v>162</v>
      </c>
      <c r="H58" s="4">
        <v>19226384000</v>
      </c>
    </row>
    <row r="59" spans="1:8" x14ac:dyDescent="0.3">
      <c r="A59" s="4" t="s">
        <v>147</v>
      </c>
      <c r="B59" s="4" t="s">
        <v>123</v>
      </c>
      <c r="C59" s="4" t="s">
        <v>125</v>
      </c>
      <c r="D59" s="5">
        <v>45658</v>
      </c>
      <c r="E59" s="5">
        <v>45747</v>
      </c>
      <c r="F59" s="4">
        <v>85464</v>
      </c>
      <c r="G59" s="4" t="s">
        <v>156</v>
      </c>
      <c r="H59" s="4">
        <v>1068300000</v>
      </c>
    </row>
    <row r="60" spans="1:8" x14ac:dyDescent="0.3">
      <c r="A60" s="4" t="s">
        <v>147</v>
      </c>
      <c r="B60" s="4" t="s">
        <v>123</v>
      </c>
      <c r="C60" s="4" t="s">
        <v>126</v>
      </c>
      <c r="D60" s="5">
        <v>45658</v>
      </c>
      <c r="E60" s="5">
        <v>45747</v>
      </c>
      <c r="F60" s="4">
        <v>4642</v>
      </c>
      <c r="G60" s="4" t="s">
        <v>157</v>
      </c>
      <c r="H60" s="4">
        <v>31101400</v>
      </c>
    </row>
    <row r="61" spans="1:8" x14ac:dyDescent="0.3">
      <c r="A61" s="4" t="s">
        <v>147</v>
      </c>
      <c r="B61" s="4" t="s">
        <v>123</v>
      </c>
      <c r="C61" s="4" t="s">
        <v>137</v>
      </c>
      <c r="D61" s="5">
        <v>45658</v>
      </c>
      <c r="E61" s="5">
        <v>45747</v>
      </c>
      <c r="F61" s="4">
        <v>32505</v>
      </c>
      <c r="G61" s="4" t="s">
        <v>158</v>
      </c>
      <c r="H61" s="4">
        <v>487575000</v>
      </c>
    </row>
    <row r="62" spans="1:8" x14ac:dyDescent="0.3">
      <c r="A62" s="4" t="s">
        <v>147</v>
      </c>
      <c r="B62" s="4" t="s">
        <v>127</v>
      </c>
      <c r="C62" s="4" t="s">
        <v>128</v>
      </c>
      <c r="D62" s="5">
        <v>45658</v>
      </c>
      <c r="E62" s="5">
        <v>45747</v>
      </c>
      <c r="F62" s="4">
        <v>50000</v>
      </c>
      <c r="G62" s="4" t="s">
        <v>158</v>
      </c>
      <c r="H62" s="4">
        <v>750000000</v>
      </c>
    </row>
    <row r="63" spans="1:8" x14ac:dyDescent="0.3">
      <c r="A63" s="4" t="s">
        <v>147</v>
      </c>
      <c r="B63" s="4" t="s">
        <v>127</v>
      </c>
      <c r="C63" s="4" t="s">
        <v>129</v>
      </c>
      <c r="D63" s="5">
        <v>45658</v>
      </c>
      <c r="E63" s="5">
        <v>45747</v>
      </c>
      <c r="F63" s="4">
        <v>150000</v>
      </c>
      <c r="G63" s="4" t="s">
        <v>159</v>
      </c>
      <c r="H63" s="4">
        <v>3000000000</v>
      </c>
    </row>
    <row r="64" spans="1:8" x14ac:dyDescent="0.3">
      <c r="A64" s="4" t="s">
        <v>147</v>
      </c>
      <c r="B64" s="4" t="s">
        <v>130</v>
      </c>
      <c r="C64" s="4" t="s">
        <v>132</v>
      </c>
      <c r="D64" s="5">
        <v>45658</v>
      </c>
      <c r="E64" s="5">
        <v>45747</v>
      </c>
      <c r="F64" s="4">
        <v>210000</v>
      </c>
      <c r="G64" s="4" t="s">
        <v>160</v>
      </c>
      <c r="H64" s="4">
        <v>840000000</v>
      </c>
    </row>
    <row r="65" spans="1:8" x14ac:dyDescent="0.3">
      <c r="A65" s="4" t="s">
        <v>147</v>
      </c>
      <c r="B65" s="4" t="s">
        <v>133</v>
      </c>
      <c r="C65" s="4" t="s">
        <v>134</v>
      </c>
      <c r="D65" s="5">
        <v>45658</v>
      </c>
      <c r="E65" s="5">
        <v>45747</v>
      </c>
      <c r="F65" s="4">
        <v>18817</v>
      </c>
      <c r="G65" s="4"/>
      <c r="H65" s="4">
        <v>0</v>
      </c>
    </row>
    <row r="66" spans="1:8" x14ac:dyDescent="0.3">
      <c r="A66" s="4" t="s">
        <v>148</v>
      </c>
      <c r="B66" s="4" t="s">
        <v>117</v>
      </c>
      <c r="C66" s="4" t="s">
        <v>119</v>
      </c>
      <c r="D66" s="5">
        <v>45748</v>
      </c>
      <c r="E66" s="5">
        <v>45838</v>
      </c>
      <c r="F66" s="4">
        <v>31271</v>
      </c>
      <c r="G66" s="4" t="s">
        <v>152</v>
      </c>
      <c r="H66" s="4">
        <v>188313962</v>
      </c>
    </row>
    <row r="67" spans="1:8" x14ac:dyDescent="0.3">
      <c r="A67" s="4" t="s">
        <v>148</v>
      </c>
      <c r="B67" s="4" t="s">
        <v>117</v>
      </c>
      <c r="C67" s="4" t="s">
        <v>135</v>
      </c>
      <c r="D67" s="5">
        <v>45748</v>
      </c>
      <c r="E67" s="5">
        <v>45838</v>
      </c>
      <c r="F67" s="4">
        <v>663134</v>
      </c>
      <c r="G67" s="4" t="s">
        <v>161</v>
      </c>
      <c r="H67" s="4">
        <v>2691660906</v>
      </c>
    </row>
    <row r="68" spans="1:8" x14ac:dyDescent="0.3">
      <c r="A68" s="4" t="s">
        <v>148</v>
      </c>
      <c r="B68" s="4" t="s">
        <v>120</v>
      </c>
      <c r="C68" s="4" t="s">
        <v>121</v>
      </c>
      <c r="D68" s="5">
        <v>45748</v>
      </c>
      <c r="E68" s="5">
        <v>45838</v>
      </c>
      <c r="F68" s="4">
        <v>228707</v>
      </c>
      <c r="G68" s="4" t="s">
        <v>153</v>
      </c>
      <c r="H68" s="4">
        <v>5717675000</v>
      </c>
    </row>
    <row r="69" spans="1:8" x14ac:dyDescent="0.3">
      <c r="A69" s="4" t="s">
        <v>148</v>
      </c>
      <c r="B69" s="4" t="s">
        <v>120</v>
      </c>
      <c r="C69" s="4" t="s">
        <v>122</v>
      </c>
      <c r="D69" s="5">
        <v>45748</v>
      </c>
      <c r="E69" s="5">
        <v>45838</v>
      </c>
      <c r="F69" s="4">
        <v>152692</v>
      </c>
      <c r="G69" s="4" t="s">
        <v>154</v>
      </c>
      <c r="H69" s="4">
        <v>1832304000</v>
      </c>
    </row>
    <row r="70" spans="1:8" x14ac:dyDescent="0.3">
      <c r="A70" s="4" t="s">
        <v>148</v>
      </c>
      <c r="B70" s="4" t="s">
        <v>120</v>
      </c>
      <c r="C70" s="4" t="s">
        <v>136</v>
      </c>
      <c r="D70" s="5">
        <v>45748</v>
      </c>
      <c r="E70" s="5">
        <v>45838</v>
      </c>
      <c r="F70" s="4">
        <v>434482</v>
      </c>
      <c r="G70" s="4" t="s">
        <v>162</v>
      </c>
      <c r="H70" s="4">
        <v>16075834000</v>
      </c>
    </row>
    <row r="71" spans="1:8" x14ac:dyDescent="0.3">
      <c r="A71" s="4" t="s">
        <v>148</v>
      </c>
      <c r="B71" s="4" t="s">
        <v>120</v>
      </c>
      <c r="C71" s="4" t="s">
        <v>138</v>
      </c>
      <c r="D71" s="5">
        <v>45748</v>
      </c>
      <c r="E71" s="5">
        <v>45838</v>
      </c>
      <c r="F71" s="4">
        <v>215192</v>
      </c>
      <c r="G71" s="4" t="s">
        <v>163</v>
      </c>
      <c r="H71" s="4">
        <v>9253256000</v>
      </c>
    </row>
    <row r="72" spans="1:8" x14ac:dyDescent="0.3">
      <c r="A72" s="4" t="s">
        <v>148</v>
      </c>
      <c r="B72" s="4" t="s">
        <v>123</v>
      </c>
      <c r="C72" s="4" t="s">
        <v>125</v>
      </c>
      <c r="D72" s="5">
        <v>45748</v>
      </c>
      <c r="E72" s="5">
        <v>45838</v>
      </c>
      <c r="F72" s="4">
        <v>45976</v>
      </c>
      <c r="G72" s="4" t="s">
        <v>156</v>
      </c>
      <c r="H72" s="4">
        <v>574700000</v>
      </c>
    </row>
    <row r="73" spans="1:8" x14ac:dyDescent="0.3">
      <c r="A73" s="4" t="s">
        <v>148</v>
      </c>
      <c r="B73" s="4" t="s">
        <v>123</v>
      </c>
      <c r="C73" s="4" t="s">
        <v>137</v>
      </c>
      <c r="D73" s="5">
        <v>45748</v>
      </c>
      <c r="E73" s="5">
        <v>45838</v>
      </c>
      <c r="F73" s="4">
        <v>26391</v>
      </c>
      <c r="G73" s="4" t="s">
        <v>158</v>
      </c>
      <c r="H73" s="4">
        <v>395865000</v>
      </c>
    </row>
    <row r="74" spans="1:8" x14ac:dyDescent="0.3">
      <c r="A74" s="4" t="s">
        <v>148</v>
      </c>
      <c r="B74" s="4" t="s">
        <v>123</v>
      </c>
      <c r="C74" s="4" t="s">
        <v>139</v>
      </c>
      <c r="D74" s="5">
        <v>45748</v>
      </c>
      <c r="E74" s="5">
        <v>45838</v>
      </c>
      <c r="F74" s="4">
        <v>4080</v>
      </c>
      <c r="G74" s="4" t="s">
        <v>164</v>
      </c>
      <c r="H74" s="4">
        <v>95880000</v>
      </c>
    </row>
    <row r="75" spans="1:8" x14ac:dyDescent="0.3">
      <c r="A75" s="4" t="s">
        <v>148</v>
      </c>
      <c r="B75" s="4" t="s">
        <v>127</v>
      </c>
      <c r="C75" s="4" t="s">
        <v>128</v>
      </c>
      <c r="D75" s="5">
        <v>45748</v>
      </c>
      <c r="E75" s="5">
        <v>45838</v>
      </c>
      <c r="F75" s="4">
        <v>50000</v>
      </c>
      <c r="G75" s="4" t="s">
        <v>158</v>
      </c>
      <c r="H75" s="4">
        <v>750000000</v>
      </c>
    </row>
    <row r="76" spans="1:8" x14ac:dyDescent="0.3">
      <c r="A76" s="4" t="s">
        <v>148</v>
      </c>
      <c r="B76" s="4" t="s">
        <v>127</v>
      </c>
      <c r="C76" s="4" t="s">
        <v>129</v>
      </c>
      <c r="D76" s="5">
        <v>45748</v>
      </c>
      <c r="E76" s="5">
        <v>45838</v>
      </c>
      <c r="F76" s="4">
        <v>150000</v>
      </c>
      <c r="G76" s="4" t="s">
        <v>159</v>
      </c>
      <c r="H76" s="4">
        <v>3000000000</v>
      </c>
    </row>
    <row r="77" spans="1:8" x14ac:dyDescent="0.3">
      <c r="A77" s="4" t="s">
        <v>148</v>
      </c>
      <c r="B77" s="4" t="s">
        <v>130</v>
      </c>
      <c r="C77" s="4" t="s">
        <v>132</v>
      </c>
      <c r="D77" s="5">
        <v>45748</v>
      </c>
      <c r="E77" s="5">
        <v>45838</v>
      </c>
      <c r="F77" s="4">
        <v>245000</v>
      </c>
      <c r="G77" s="4" t="s">
        <v>160</v>
      </c>
      <c r="H77" s="4">
        <v>980000000</v>
      </c>
    </row>
    <row r="78" spans="1:8" x14ac:dyDescent="0.3">
      <c r="A78" s="4" t="s">
        <v>148</v>
      </c>
      <c r="B78" s="4" t="s">
        <v>133</v>
      </c>
      <c r="C78" s="4" t="s">
        <v>134</v>
      </c>
      <c r="D78" s="5">
        <v>45748</v>
      </c>
      <c r="E78" s="5">
        <v>45838</v>
      </c>
      <c r="F78" s="4">
        <v>29953</v>
      </c>
      <c r="G78" s="4"/>
      <c r="H78" s="4">
        <v>0</v>
      </c>
    </row>
    <row r="79" spans="1:8" x14ac:dyDescent="0.3">
      <c r="A79" s="4" t="s">
        <v>149</v>
      </c>
      <c r="B79" s="4" t="s">
        <v>117</v>
      </c>
      <c r="C79" s="4" t="s">
        <v>135</v>
      </c>
      <c r="D79" s="5">
        <v>45839</v>
      </c>
      <c r="E79" s="5">
        <v>45930</v>
      </c>
      <c r="F79" s="4">
        <v>734300</v>
      </c>
      <c r="G79" s="4" t="s">
        <v>161</v>
      </c>
      <c r="H79" s="4">
        <v>2980523700</v>
      </c>
    </row>
    <row r="80" spans="1:8" x14ac:dyDescent="0.3">
      <c r="A80" s="4" t="s">
        <v>149</v>
      </c>
      <c r="B80" s="4" t="s">
        <v>117</v>
      </c>
      <c r="C80" s="4" t="s">
        <v>140</v>
      </c>
      <c r="D80" s="5">
        <v>45839</v>
      </c>
      <c r="E80" s="5">
        <v>45930</v>
      </c>
      <c r="F80" s="4">
        <v>51286</v>
      </c>
      <c r="G80" s="4" t="s">
        <v>165</v>
      </c>
      <c r="H80" s="4">
        <v>601943782</v>
      </c>
    </row>
    <row r="81" spans="1:8" x14ac:dyDescent="0.3">
      <c r="A81" s="4" t="s">
        <v>149</v>
      </c>
      <c r="B81" s="4" t="s">
        <v>120</v>
      </c>
      <c r="C81" s="4" t="s">
        <v>121</v>
      </c>
      <c r="D81" s="5">
        <v>45839</v>
      </c>
      <c r="E81" s="5">
        <v>45930</v>
      </c>
      <c r="F81" s="4">
        <v>127307</v>
      </c>
      <c r="G81" s="4" t="s">
        <v>153</v>
      </c>
      <c r="H81" s="4">
        <v>3182675000</v>
      </c>
    </row>
    <row r="82" spans="1:8" x14ac:dyDescent="0.3">
      <c r="A82" s="4" t="s">
        <v>149</v>
      </c>
      <c r="B82" s="4" t="s">
        <v>120</v>
      </c>
      <c r="C82" s="4" t="s">
        <v>122</v>
      </c>
      <c r="D82" s="5">
        <v>45839</v>
      </c>
      <c r="E82" s="5">
        <v>45930</v>
      </c>
      <c r="F82" s="4">
        <v>17117</v>
      </c>
      <c r="G82" s="4" t="s">
        <v>154</v>
      </c>
      <c r="H82" s="4">
        <v>205404000</v>
      </c>
    </row>
    <row r="83" spans="1:8" x14ac:dyDescent="0.3">
      <c r="A83" s="4" t="s">
        <v>149</v>
      </c>
      <c r="B83" s="4" t="s">
        <v>120</v>
      </c>
      <c r="C83" s="4" t="s">
        <v>136</v>
      </c>
      <c r="D83" s="5">
        <v>45839</v>
      </c>
      <c r="E83" s="5">
        <v>45930</v>
      </c>
      <c r="F83" s="4">
        <v>346088</v>
      </c>
      <c r="G83" s="4" t="s">
        <v>162</v>
      </c>
      <c r="H83" s="4">
        <v>12805256000</v>
      </c>
    </row>
    <row r="84" spans="1:8" x14ac:dyDescent="0.3">
      <c r="A84" s="4" t="s">
        <v>149</v>
      </c>
      <c r="B84" s="4" t="s">
        <v>120</v>
      </c>
      <c r="C84" s="4" t="s">
        <v>138</v>
      </c>
      <c r="D84" s="5">
        <v>45839</v>
      </c>
      <c r="E84" s="5">
        <v>45930</v>
      </c>
      <c r="F84" s="4">
        <v>541775</v>
      </c>
      <c r="G84" s="4" t="s">
        <v>163</v>
      </c>
      <c r="H84" s="4">
        <v>23296325000</v>
      </c>
    </row>
    <row r="85" spans="1:8" x14ac:dyDescent="0.3">
      <c r="A85" s="4" t="s">
        <v>149</v>
      </c>
      <c r="B85" s="4" t="s">
        <v>123</v>
      </c>
      <c r="C85" s="4" t="s">
        <v>125</v>
      </c>
      <c r="D85" s="5">
        <v>45839</v>
      </c>
      <c r="E85" s="5">
        <v>45930</v>
      </c>
      <c r="F85" s="4">
        <v>45934</v>
      </c>
      <c r="G85" s="4" t="s">
        <v>156</v>
      </c>
      <c r="H85" s="4">
        <v>574175000</v>
      </c>
    </row>
    <row r="86" spans="1:8" x14ac:dyDescent="0.3">
      <c r="A86" s="4" t="s">
        <v>149</v>
      </c>
      <c r="B86" s="4" t="s">
        <v>123</v>
      </c>
      <c r="C86" s="4" t="s">
        <v>137</v>
      </c>
      <c r="D86" s="5">
        <v>45839</v>
      </c>
      <c r="E86" s="5">
        <v>45930</v>
      </c>
      <c r="F86" s="4">
        <v>19634</v>
      </c>
      <c r="G86" s="4" t="s">
        <v>158</v>
      </c>
      <c r="H86" s="4">
        <v>294510000</v>
      </c>
    </row>
    <row r="87" spans="1:8" x14ac:dyDescent="0.3">
      <c r="A87" s="4" t="s">
        <v>149</v>
      </c>
      <c r="B87" s="4" t="s">
        <v>123</v>
      </c>
      <c r="C87" s="4" t="s">
        <v>139</v>
      </c>
      <c r="D87" s="5">
        <v>45839</v>
      </c>
      <c r="E87" s="5">
        <v>45930</v>
      </c>
      <c r="F87" s="4">
        <v>36199</v>
      </c>
      <c r="G87" s="4" t="s">
        <v>164</v>
      </c>
      <c r="H87" s="4">
        <v>850676500</v>
      </c>
    </row>
    <row r="88" spans="1:8" x14ac:dyDescent="0.3">
      <c r="A88" s="4" t="s">
        <v>149</v>
      </c>
      <c r="B88" s="4" t="s">
        <v>123</v>
      </c>
      <c r="C88" s="4" t="s">
        <v>141</v>
      </c>
      <c r="D88" s="5">
        <v>45839</v>
      </c>
      <c r="E88" s="5">
        <v>45930</v>
      </c>
      <c r="F88" s="4">
        <v>12411</v>
      </c>
      <c r="G88" s="4" t="s">
        <v>166</v>
      </c>
      <c r="H88" s="4">
        <v>341302500</v>
      </c>
    </row>
    <row r="89" spans="1:8" x14ac:dyDescent="0.3">
      <c r="A89" s="4" t="s">
        <v>149</v>
      </c>
      <c r="B89" s="4" t="s">
        <v>127</v>
      </c>
      <c r="C89" s="4" t="s">
        <v>128</v>
      </c>
      <c r="D89" s="5">
        <v>45839</v>
      </c>
      <c r="E89" s="5">
        <v>45930</v>
      </c>
      <c r="F89" s="4">
        <v>50000</v>
      </c>
      <c r="G89" s="4" t="s">
        <v>158</v>
      </c>
      <c r="H89" s="4">
        <v>750000000</v>
      </c>
    </row>
    <row r="90" spans="1:8" x14ac:dyDescent="0.3">
      <c r="A90" s="4" t="s">
        <v>149</v>
      </c>
      <c r="B90" s="4" t="s">
        <v>127</v>
      </c>
      <c r="C90" s="4" t="s">
        <v>129</v>
      </c>
      <c r="D90" s="5">
        <v>45839</v>
      </c>
      <c r="E90" s="5">
        <v>45930</v>
      </c>
      <c r="F90" s="4">
        <v>150000</v>
      </c>
      <c r="G90" s="4" t="s">
        <v>159</v>
      </c>
      <c r="H90" s="4">
        <v>3000000000</v>
      </c>
    </row>
    <row r="91" spans="1:8" x14ac:dyDescent="0.3">
      <c r="A91" s="4" t="s">
        <v>149</v>
      </c>
      <c r="B91" s="4" t="s">
        <v>130</v>
      </c>
      <c r="C91" s="4" t="s">
        <v>132</v>
      </c>
      <c r="D91" s="5">
        <v>45839</v>
      </c>
      <c r="E91" s="5">
        <v>45930</v>
      </c>
      <c r="F91" s="4">
        <v>285000</v>
      </c>
      <c r="G91" s="4" t="s">
        <v>160</v>
      </c>
      <c r="H91" s="4">
        <v>1140000000</v>
      </c>
    </row>
    <row r="92" spans="1:8" x14ac:dyDescent="0.3">
      <c r="A92" s="4" t="s">
        <v>149</v>
      </c>
      <c r="B92" s="4" t="s">
        <v>133</v>
      </c>
      <c r="C92" s="4" t="s">
        <v>134</v>
      </c>
      <c r="D92" s="5">
        <v>45839</v>
      </c>
      <c r="E92" s="5">
        <v>45930</v>
      </c>
      <c r="F92" s="4">
        <v>29235</v>
      </c>
      <c r="G92" s="4"/>
      <c r="H92" s="4">
        <v>0</v>
      </c>
    </row>
    <row r="93" spans="1:8" x14ac:dyDescent="0.3">
      <c r="A93" s="4" t="s">
        <v>150</v>
      </c>
      <c r="B93" s="4" t="s">
        <v>117</v>
      </c>
      <c r="C93" s="4" t="s">
        <v>135</v>
      </c>
      <c r="D93" s="5">
        <v>45931</v>
      </c>
      <c r="E93" s="5">
        <v>46022</v>
      </c>
      <c r="F93" s="4">
        <v>408357</v>
      </c>
      <c r="G93" s="4" t="s">
        <v>161</v>
      </c>
      <c r="H93" s="4">
        <v>1657521063</v>
      </c>
    </row>
    <row r="94" spans="1:8" x14ac:dyDescent="0.3">
      <c r="A94" s="4" t="s">
        <v>150</v>
      </c>
      <c r="B94" s="4" t="s">
        <v>117</v>
      </c>
      <c r="C94" s="4" t="s">
        <v>140</v>
      </c>
      <c r="D94" s="5">
        <v>45931</v>
      </c>
      <c r="E94" s="5">
        <v>46022</v>
      </c>
      <c r="F94" s="4">
        <v>212828</v>
      </c>
      <c r="G94" s="4" t="s">
        <v>165</v>
      </c>
      <c r="H94" s="4">
        <v>2497962236</v>
      </c>
    </row>
    <row r="95" spans="1:8" x14ac:dyDescent="0.3">
      <c r="A95" s="4" t="s">
        <v>150</v>
      </c>
      <c r="B95" s="4" t="s">
        <v>120</v>
      </c>
      <c r="C95" s="4" t="s">
        <v>121</v>
      </c>
      <c r="D95" s="5">
        <v>45931</v>
      </c>
      <c r="E95" s="5">
        <v>46022</v>
      </c>
      <c r="F95" s="4">
        <v>23384</v>
      </c>
      <c r="G95" s="4" t="s">
        <v>153</v>
      </c>
      <c r="H95" s="4">
        <v>584600000</v>
      </c>
    </row>
    <row r="96" spans="1:8" x14ac:dyDescent="0.3">
      <c r="A96" s="4" t="s">
        <v>150</v>
      </c>
      <c r="B96" s="4" t="s">
        <v>120</v>
      </c>
      <c r="C96" s="4" t="s">
        <v>136</v>
      </c>
      <c r="D96" s="5">
        <v>45931</v>
      </c>
      <c r="E96" s="5">
        <v>46022</v>
      </c>
      <c r="F96" s="4">
        <v>417621</v>
      </c>
      <c r="G96" s="4" t="s">
        <v>162</v>
      </c>
      <c r="H96" s="4">
        <v>15451977000</v>
      </c>
    </row>
    <row r="97" spans="1:8" x14ac:dyDescent="0.3">
      <c r="A97" s="4" t="s">
        <v>150</v>
      </c>
      <c r="B97" s="4" t="s">
        <v>120</v>
      </c>
      <c r="C97" s="4" t="s">
        <v>138</v>
      </c>
      <c r="D97" s="5">
        <v>45931</v>
      </c>
      <c r="E97" s="5">
        <v>46022</v>
      </c>
      <c r="F97" s="4">
        <v>743724</v>
      </c>
      <c r="G97" s="4" t="s">
        <v>163</v>
      </c>
      <c r="H97" s="4">
        <v>31980132000</v>
      </c>
    </row>
    <row r="98" spans="1:8" x14ac:dyDescent="0.3">
      <c r="A98" s="4" t="s">
        <v>150</v>
      </c>
      <c r="B98" s="4" t="s">
        <v>123</v>
      </c>
      <c r="C98" s="4" t="s">
        <v>125</v>
      </c>
      <c r="D98" s="5">
        <v>45931</v>
      </c>
      <c r="E98" s="5">
        <v>46022</v>
      </c>
      <c r="F98" s="4">
        <v>11197</v>
      </c>
      <c r="G98" s="4" t="s">
        <v>156</v>
      </c>
      <c r="H98" s="4">
        <v>139962500</v>
      </c>
    </row>
    <row r="99" spans="1:8" x14ac:dyDescent="0.3">
      <c r="A99" s="4" t="s">
        <v>150</v>
      </c>
      <c r="B99" s="4" t="s">
        <v>123</v>
      </c>
      <c r="C99" s="4" t="s">
        <v>137</v>
      </c>
      <c r="D99" s="5">
        <v>45931</v>
      </c>
      <c r="E99" s="5">
        <v>46022</v>
      </c>
      <c r="F99" s="4">
        <v>12777</v>
      </c>
      <c r="G99" s="4" t="s">
        <v>158</v>
      </c>
      <c r="H99" s="4">
        <v>191655000</v>
      </c>
    </row>
    <row r="100" spans="1:8" x14ac:dyDescent="0.3">
      <c r="A100" s="4" t="s">
        <v>150</v>
      </c>
      <c r="B100" s="4" t="s">
        <v>123</v>
      </c>
      <c r="C100" s="4" t="s">
        <v>139</v>
      </c>
      <c r="D100" s="5">
        <v>45931</v>
      </c>
      <c r="E100" s="5">
        <v>46022</v>
      </c>
      <c r="F100" s="4">
        <v>35183</v>
      </c>
      <c r="G100" s="4" t="s">
        <v>164</v>
      </c>
      <c r="H100" s="4">
        <v>826800500</v>
      </c>
    </row>
    <row r="101" spans="1:8" x14ac:dyDescent="0.3">
      <c r="A101" s="4" t="s">
        <v>150</v>
      </c>
      <c r="B101" s="4" t="s">
        <v>123</v>
      </c>
      <c r="C101" s="4" t="s">
        <v>141</v>
      </c>
      <c r="D101" s="5">
        <v>45931</v>
      </c>
      <c r="E101" s="5">
        <v>46022</v>
      </c>
      <c r="F101" s="4">
        <v>37063</v>
      </c>
      <c r="G101" s="4" t="s">
        <v>166</v>
      </c>
      <c r="H101" s="4">
        <v>1019232500</v>
      </c>
    </row>
    <row r="102" spans="1:8" x14ac:dyDescent="0.3">
      <c r="A102" s="4" t="s">
        <v>150</v>
      </c>
      <c r="B102" s="4" t="s">
        <v>127</v>
      </c>
      <c r="C102" s="4" t="s">
        <v>128</v>
      </c>
      <c r="D102" s="5">
        <v>45931</v>
      </c>
      <c r="E102" s="5">
        <v>46022</v>
      </c>
      <c r="F102" s="4">
        <v>50000</v>
      </c>
      <c r="G102" s="4" t="s">
        <v>158</v>
      </c>
      <c r="H102" s="4">
        <v>750000000</v>
      </c>
    </row>
    <row r="103" spans="1:8" x14ac:dyDescent="0.3">
      <c r="A103" s="4" t="s">
        <v>150</v>
      </c>
      <c r="B103" s="4" t="s">
        <v>127</v>
      </c>
      <c r="C103" s="4" t="s">
        <v>129</v>
      </c>
      <c r="D103" s="5">
        <v>45931</v>
      </c>
      <c r="E103" s="5">
        <v>46022</v>
      </c>
      <c r="F103" s="4">
        <v>150000</v>
      </c>
      <c r="G103" s="4" t="s">
        <v>159</v>
      </c>
      <c r="H103" s="4">
        <v>3000000000</v>
      </c>
    </row>
    <row r="104" spans="1:8" x14ac:dyDescent="0.3">
      <c r="A104" s="4" t="s">
        <v>150</v>
      </c>
      <c r="B104" s="4" t="s">
        <v>130</v>
      </c>
      <c r="C104" s="4" t="s">
        <v>132</v>
      </c>
      <c r="D104" s="5">
        <v>45931</v>
      </c>
      <c r="E104" s="5">
        <v>46022</v>
      </c>
      <c r="F104" s="4">
        <v>335000</v>
      </c>
      <c r="G104" s="4" t="s">
        <v>160</v>
      </c>
      <c r="H104" s="4">
        <v>1340000000</v>
      </c>
    </row>
    <row r="105" spans="1:8" x14ac:dyDescent="0.3">
      <c r="A105" s="4" t="s">
        <v>150</v>
      </c>
      <c r="B105" s="4" t="s">
        <v>123</v>
      </c>
      <c r="C105" s="4" t="s">
        <v>142</v>
      </c>
      <c r="D105" s="5">
        <v>45931</v>
      </c>
      <c r="E105" s="5">
        <v>46022</v>
      </c>
      <c r="F105" s="4">
        <v>31783</v>
      </c>
      <c r="G105" s="4" t="s">
        <v>154</v>
      </c>
      <c r="H105" s="4">
        <v>381396000</v>
      </c>
    </row>
    <row r="106" spans="1:8" x14ac:dyDescent="0.3">
      <c r="A106" s="4" t="s">
        <v>150</v>
      </c>
      <c r="B106" s="4" t="s">
        <v>133</v>
      </c>
      <c r="C106" s="4" t="s">
        <v>134</v>
      </c>
      <c r="D106" s="5">
        <v>45931</v>
      </c>
      <c r="E106" s="5">
        <v>46022</v>
      </c>
      <c r="F106" s="4">
        <v>31995</v>
      </c>
      <c r="G106" s="4"/>
      <c r="H106" s="4">
        <v>0</v>
      </c>
    </row>
    <row r="107" spans="1:8" x14ac:dyDescent="0.3">
      <c r="A107" s="4"/>
      <c r="B107" s="4"/>
      <c r="C107" s="4"/>
      <c r="D107" s="5"/>
      <c r="E107" s="5"/>
      <c r="F107" s="4"/>
      <c r="G107" s="4"/>
      <c r="H107" s="4"/>
    </row>
    <row r="108" spans="1:8" x14ac:dyDescent="0.3">
      <c r="A108" s="4"/>
      <c r="B108" s="4"/>
      <c r="C108" s="4"/>
      <c r="D108" s="5"/>
      <c r="E108" s="5"/>
      <c r="F108" s="4"/>
      <c r="G108" s="4"/>
      <c r="H108" s="4"/>
    </row>
    <row r="109" spans="1:8" x14ac:dyDescent="0.3">
      <c r="A109" s="4"/>
      <c r="B109" s="4"/>
      <c r="C109" s="4"/>
      <c r="D109" s="5"/>
      <c r="E109" s="5"/>
      <c r="F109" s="4"/>
      <c r="G109" s="4"/>
      <c r="H109" s="4"/>
    </row>
    <row r="110" spans="1:8" x14ac:dyDescent="0.3">
      <c r="A110" s="4"/>
      <c r="B110" s="4"/>
      <c r="C110" s="4"/>
      <c r="D110" s="5"/>
      <c r="E110" s="5"/>
      <c r="F110" s="4"/>
      <c r="G110" s="4"/>
      <c r="H110" s="4"/>
    </row>
    <row r="111" spans="1:8" x14ac:dyDescent="0.3">
      <c r="A111" s="4"/>
      <c r="B111" s="4"/>
      <c r="C111" s="4"/>
      <c r="D111" s="5"/>
      <c r="E111" s="5"/>
      <c r="F111" s="4"/>
      <c r="G111" s="4"/>
      <c r="H111" s="4"/>
    </row>
    <row r="112" spans="1:8" x14ac:dyDescent="0.3">
      <c r="A112" s="4"/>
      <c r="B112" s="4"/>
      <c r="C112" s="4"/>
      <c r="D112" s="5"/>
      <c r="E112" s="5"/>
      <c r="F112" s="4"/>
      <c r="G112" s="4"/>
      <c r="H112" s="4"/>
    </row>
    <row r="113" spans="1:8" x14ac:dyDescent="0.3">
      <c r="A113" s="4"/>
      <c r="B113" s="4"/>
      <c r="C113" s="4"/>
      <c r="D113" s="5"/>
      <c r="E113" s="5"/>
      <c r="F113" s="4"/>
      <c r="G113" s="4"/>
      <c r="H113" s="4"/>
    </row>
    <row r="114" spans="1:8" x14ac:dyDescent="0.3">
      <c r="A114" s="4"/>
      <c r="B114" s="4"/>
      <c r="C114" s="4"/>
      <c r="D114" s="5"/>
      <c r="E114" s="5"/>
      <c r="F114" s="4"/>
      <c r="G114" s="4"/>
      <c r="H114" s="4"/>
    </row>
    <row r="115" spans="1:8" x14ac:dyDescent="0.3">
      <c r="A115" s="4"/>
      <c r="B115" s="4"/>
      <c r="C115" s="4"/>
      <c r="D115" s="5"/>
      <c r="E115" s="5"/>
      <c r="F115" s="4"/>
      <c r="G115" s="4"/>
      <c r="H115" s="4"/>
    </row>
    <row r="116" spans="1:8" x14ac:dyDescent="0.3">
      <c r="A116" s="4"/>
      <c r="B116" s="4"/>
      <c r="C116" s="4"/>
      <c r="D116" s="5"/>
      <c r="E116" s="5"/>
      <c r="F116" s="4"/>
      <c r="G116" s="4"/>
      <c r="H116" s="4"/>
    </row>
    <row r="117" spans="1:8" x14ac:dyDescent="0.3">
      <c r="A117" s="4"/>
      <c r="B117" s="4"/>
      <c r="C117" s="4"/>
      <c r="D117" s="5"/>
      <c r="E117" s="5"/>
      <c r="F117" s="4"/>
      <c r="G117" s="4"/>
      <c r="H117" s="4"/>
    </row>
    <row r="118" spans="1:8" x14ac:dyDescent="0.3">
      <c r="A118" s="4"/>
      <c r="B118" s="4"/>
      <c r="C118" s="4"/>
      <c r="D118" s="5"/>
      <c r="E118" s="5"/>
      <c r="F118" s="4"/>
      <c r="G118" s="4"/>
      <c r="H118" s="4"/>
    </row>
    <row r="119" spans="1:8" x14ac:dyDescent="0.3">
      <c r="A119" s="4"/>
      <c r="B119" s="4"/>
      <c r="C119" s="4"/>
      <c r="D119" s="5"/>
      <c r="E119" s="5"/>
      <c r="F119" s="4"/>
      <c r="G119" s="4"/>
      <c r="H119" s="4"/>
    </row>
    <row r="120" spans="1:8" x14ac:dyDescent="0.3">
      <c r="A120" s="4"/>
      <c r="B120" s="4"/>
      <c r="C120" s="4"/>
      <c r="D120" s="5"/>
      <c r="E120" s="5"/>
      <c r="F120" s="4"/>
      <c r="G120" s="4"/>
      <c r="H120" s="4"/>
    </row>
    <row r="121" spans="1:8" x14ac:dyDescent="0.3">
      <c r="A121" s="4"/>
      <c r="B121" s="4"/>
      <c r="C121" s="4"/>
      <c r="D121" s="5"/>
      <c r="E121" s="5"/>
      <c r="F121" s="4"/>
      <c r="G121" s="4"/>
      <c r="H121" s="4"/>
    </row>
    <row r="122" spans="1:8" x14ac:dyDescent="0.3">
      <c r="A122" s="4"/>
      <c r="B122" s="4"/>
      <c r="C122" s="4"/>
      <c r="D122" s="5"/>
      <c r="E122" s="5"/>
      <c r="F122" s="4"/>
      <c r="G122" s="4"/>
      <c r="H122" s="4"/>
    </row>
    <row r="123" spans="1:8" x14ac:dyDescent="0.3">
      <c r="A123" s="4"/>
      <c r="B123" s="4"/>
      <c r="C123" s="4"/>
      <c r="D123" s="5"/>
      <c r="E123" s="5"/>
      <c r="F123" s="4"/>
      <c r="G123" s="4"/>
      <c r="H123" s="4"/>
    </row>
    <row r="124" spans="1:8" x14ac:dyDescent="0.3">
      <c r="A124" s="4"/>
      <c r="B124" s="4"/>
      <c r="C124" s="4"/>
      <c r="D124" s="5"/>
      <c r="E124" s="5"/>
      <c r="F124" s="4"/>
      <c r="G124" s="4"/>
      <c r="H124" s="4"/>
    </row>
    <row r="125" spans="1:8" x14ac:dyDescent="0.3">
      <c r="A125" s="4"/>
      <c r="B125" s="4"/>
      <c r="C125" s="4"/>
      <c r="D125" s="5"/>
      <c r="E125" s="5"/>
      <c r="F125" s="4"/>
      <c r="G125" s="4"/>
      <c r="H125" s="4"/>
    </row>
    <row r="126" spans="1:8" x14ac:dyDescent="0.3">
      <c r="A126" s="4"/>
      <c r="B126" s="4"/>
      <c r="C126" s="4"/>
      <c r="D126" s="5"/>
      <c r="E126" s="5"/>
      <c r="F126" s="4"/>
      <c r="G126" s="4"/>
      <c r="H126" s="4"/>
    </row>
    <row r="127" spans="1:8" x14ac:dyDescent="0.3">
      <c r="A127" s="4"/>
      <c r="B127" s="4"/>
      <c r="C127" s="4"/>
      <c r="D127" s="5"/>
      <c r="E127" s="5"/>
      <c r="F127" s="4"/>
      <c r="G127" s="4"/>
      <c r="H127" s="4"/>
    </row>
    <row r="128" spans="1:8" x14ac:dyDescent="0.3">
      <c r="A128" s="4"/>
      <c r="B128" s="4"/>
      <c r="C128" s="4"/>
      <c r="D128" s="5"/>
      <c r="E128" s="5"/>
      <c r="F128" s="4"/>
      <c r="G128" s="4"/>
      <c r="H128" s="4"/>
    </row>
    <row r="129" spans="1:12" x14ac:dyDescent="0.3">
      <c r="A129" s="4"/>
      <c r="B129" s="4"/>
      <c r="C129" s="4"/>
      <c r="D129" s="5"/>
      <c r="E129" s="5"/>
      <c r="F129" s="4"/>
      <c r="G129" s="4"/>
      <c r="H129" s="4"/>
    </row>
    <row r="130" spans="1:12" x14ac:dyDescent="0.3">
      <c r="A130" s="4"/>
      <c r="B130" s="4"/>
      <c r="C130" s="4"/>
      <c r="D130" s="5"/>
      <c r="E130" s="5"/>
      <c r="F130" s="4"/>
      <c r="G130" s="4"/>
      <c r="H130" s="4"/>
    </row>
    <row r="131" spans="1:12" x14ac:dyDescent="0.3">
      <c r="A131" s="4"/>
      <c r="B131" s="4"/>
      <c r="C131" s="4"/>
      <c r="D131" s="5"/>
      <c r="E131" s="5"/>
      <c r="F131" s="4"/>
      <c r="G131" s="4"/>
      <c r="H131" s="4"/>
    </row>
    <row r="132" spans="1:12" x14ac:dyDescent="0.3">
      <c r="A132" s="4"/>
      <c r="B132" s="4"/>
      <c r="C132" s="4"/>
      <c r="D132" s="5"/>
      <c r="E132" s="5"/>
      <c r="F132" s="4"/>
      <c r="G132" s="4"/>
      <c r="H132" s="4"/>
    </row>
    <row r="133" spans="1:12" x14ac:dyDescent="0.3">
      <c r="A133" s="6"/>
      <c r="B133" s="6"/>
      <c r="C133" s="6"/>
      <c r="D133" s="6"/>
      <c r="E133" s="6"/>
      <c r="F133" s="7"/>
      <c r="G133" s="6"/>
      <c r="H133" s="6"/>
      <c r="L133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FFB3-492B-4FB6-BAF3-5703CDF44597}">
  <dimension ref="A1:I23"/>
  <sheetViews>
    <sheetView workbookViewId="0">
      <selection activeCell="E20" sqref="E20"/>
    </sheetView>
  </sheetViews>
  <sheetFormatPr defaultRowHeight="14.4" x14ac:dyDescent="0.3"/>
  <cols>
    <col min="1" max="1" width="21.77734375" style="6" customWidth="1"/>
    <col min="2" max="2" width="22" style="6" customWidth="1"/>
    <col min="3" max="9" width="19.33203125" style="6" customWidth="1"/>
    <col min="10" max="16384" width="8.88671875" style="6"/>
  </cols>
  <sheetData>
    <row r="1" spans="1:9" ht="17.399999999999999" x14ac:dyDescent="0.35">
      <c r="A1" s="17" t="s">
        <v>178</v>
      </c>
    </row>
    <row r="2" spans="1:9" ht="15" thickBot="1" x14ac:dyDescent="0.35"/>
    <row r="3" spans="1:9" x14ac:dyDescent="0.3">
      <c r="A3" s="22" t="s">
        <v>167</v>
      </c>
      <c r="B3" s="23" t="s">
        <v>196</v>
      </c>
      <c r="C3" s="23" t="s">
        <v>195</v>
      </c>
      <c r="D3" s="23" t="s">
        <v>194</v>
      </c>
      <c r="E3" s="23" t="s">
        <v>193</v>
      </c>
      <c r="F3" s="24" t="s">
        <v>198</v>
      </c>
      <c r="H3" s="12"/>
      <c r="I3" s="12"/>
    </row>
    <row r="4" spans="1:9" x14ac:dyDescent="0.3">
      <c r="A4" s="25" t="str">
        <f>'[1]Quarterly Data'!C26</f>
        <v>AMD</v>
      </c>
      <c r="B4" s="13">
        <f>SUM('Company Spending Data'!E2, 'Company Spending Data'!E6, 'Company Spending Data'!E10, 'Company Spending Data'!E14, 'Company Spending Data'!E18, 'Company Spending Data'!E22, 'Company Spending Data'!E26, 'Company Spending Data'!E30,)</f>
        <v>416320657.41694611</v>
      </c>
      <c r="C4" s="13">
        <f>SUM('Company Spending Data'!F2, 'Company Spending Data'!F6, 'Company Spending Data'!F10, 'Company Spending Data'!F14, 'Company Spending Data'!F18, 'Company Spending Data'!F22, 'Company Spending Data'!F26, 'Company Spending Data'!F30,)</f>
        <v>1250562381.0254095</v>
      </c>
      <c r="D4" s="13">
        <f>SUM('Company Spending Data'!G2, 'Company Spending Data'!G6, 'Company Spending Data'!G10, 'Company Spending Data'!G14, 'Company Spending Data'!G18, 'Company Spending Data'!G22, 'Company Spending Data'!G26, 'Company Spending Data'!G30,)</f>
        <v>4264334559.1984138</v>
      </c>
      <c r="E4" s="13">
        <f>SUM('Company Spending Data'!H2, 'Company Spending Data'!H6, 'Company Spending Data'!H10, 'Company Spending Data'!H14, 'Company Spending Data'!H18, 'Company Spending Data'!H22, 'Company Spending Data'!H26, 'Company Spending Data'!H30,)</f>
        <v>545556019.24968183</v>
      </c>
      <c r="F4" s="26">
        <f>SUM(B4:E4)</f>
        <v>6476773616.8904514</v>
      </c>
      <c r="H4" s="16"/>
      <c r="I4" s="16"/>
    </row>
    <row r="5" spans="1:9" x14ac:dyDescent="0.3">
      <c r="A5" s="25" t="str">
        <f>'[1]Quarterly Data'!C27</f>
        <v>Amazon</v>
      </c>
      <c r="B5" s="13">
        <f>SUM('Company Spending Data'!E3, 'Company Spending Data'!E7, 'Company Spending Data'!E11, 'Company Spending Data'!E15, 'Company Spending Data'!E19, 'Company Spending Data'!E23, 'Company Spending Data'!E27, 'Company Spending Data'!E31,)</f>
        <v>729363481.46857643</v>
      </c>
      <c r="C5" s="13">
        <f>SUM('Company Spending Data'!F3, 'Company Spending Data'!F7, 'Company Spending Data'!F11, 'Company Spending Data'!F15, 'Company Spending Data'!F19, 'Company Spending Data'!F23, 'Company Spending Data'!F27, 'Company Spending Data'!F31,)</f>
        <v>928366991.54840422</v>
      </c>
      <c r="D5" s="13">
        <f>SUM('Company Spending Data'!G3, 'Company Spending Data'!G7, 'Company Spending Data'!G11, 'Company Spending Data'!G15, 'Company Spending Data'!G19, 'Company Spending Data'!G23, 'Company Spending Data'!G27, 'Company Spending Data'!G31,)</f>
        <v>2817014352.3936939</v>
      </c>
      <c r="E5" s="13">
        <f>SUM('Company Spending Data'!H3, 'Company Spending Data'!H7, 'Company Spending Data'!H11, 'Company Spending Data'!H15, 'Company Spending Data'!H19, 'Company Spending Data'!H23, 'Company Spending Data'!H27, 'Company Spending Data'!H31,)</f>
        <v>712811844.82465792</v>
      </c>
      <c r="F5" s="26">
        <f>SUM(B5:E5)</f>
        <v>5187556670.2353325</v>
      </c>
      <c r="H5" s="16"/>
      <c r="I5" s="16"/>
    </row>
    <row r="6" spans="1:9" x14ac:dyDescent="0.3">
      <c r="A6" s="25" t="str">
        <f>'[1]Quarterly Data'!C24</f>
        <v>Google</v>
      </c>
      <c r="B6" s="13">
        <f>SUM('Company Spending Data'!E4, 'Company Spending Data'!E8, 'Company Spending Data'!E12, 'Company Spending Data'!E16, 'Company Spending Data'!E20, 'Company Spending Data'!E24, 'Company Spending Data'!E28, 'Company Spending Data'!E32,)</f>
        <v>1425630919.9074852</v>
      </c>
      <c r="C6" s="13">
        <f>SUM('Company Spending Data'!F4, 'Company Spending Data'!F8, 'Company Spending Data'!F12, 'Company Spending Data'!F16, 'Company Spending Data'!F20, 'Company Spending Data'!F24, 'Company Spending Data'!F28, 'Company Spending Data'!F32,)</f>
        <v>1578551522.4039657</v>
      </c>
      <c r="D6" s="13">
        <f>SUM('Company Spending Data'!G4, 'Company Spending Data'!G8, 'Company Spending Data'!G12, 'Company Spending Data'!G16, 'Company Spending Data'!G20, 'Company Spending Data'!G24, 'Company Spending Data'!G28, 'Company Spending Data'!G32,)</f>
        <v>3803622001.2607408</v>
      </c>
      <c r="E6" s="13">
        <f>SUM('Company Spending Data'!H4, 'Company Spending Data'!H8, 'Company Spending Data'!H12, 'Company Spending Data'!H16, 'Company Spending Data'!H20, 'Company Spending Data'!H24, 'Company Spending Data'!H28, 'Company Spending Data'!H32,)</f>
        <v>1532163410.5532331</v>
      </c>
      <c r="F6" s="26">
        <f>SUM(B6:E6)</f>
        <v>8339967854.1254244</v>
      </c>
      <c r="H6" s="16"/>
      <c r="I6" s="16"/>
    </row>
    <row r="7" spans="1:9" ht="28.8" customHeight="1" thickBot="1" x14ac:dyDescent="0.35">
      <c r="A7" s="27" t="str">
        <f>'[1]Quarterly Data'!C25</f>
        <v>NVIDIA</v>
      </c>
      <c r="B7" s="28">
        <f>SUM('Company Spending Data'!E5, 'Company Spending Data'!E9, 'Company Spending Data'!E13, 'Company Spending Data'!E17, 'Company Spending Data'!E21, 'Company Spending Data'!E25, 'Company Spending Data'!E29, 'Company Spending Data'!E33,)</f>
        <v>7566690565.9512119</v>
      </c>
      <c r="C7" s="28">
        <f>SUM('Company Spending Data'!F5, 'Company Spending Data'!F9, 'Company Spending Data'!F13, 'Company Spending Data'!F17, 'Company Spending Data'!F21, 'Company Spending Data'!F25, 'Company Spending Data'!F29, 'Company Spending Data'!F33,)</f>
        <v>8528530428.2147808</v>
      </c>
      <c r="D7" s="28">
        <f>SUM('Company Spending Data'!G5, 'Company Spending Data'!G9, 'Company Spending Data'!G13, 'Company Spending Data'!G17, 'Company Spending Data'!G21, 'Company Spending Data'!G25, 'Company Spending Data'!G29, 'Company Spending Data'!G33,)</f>
        <v>32822721308.528519</v>
      </c>
      <c r="E7" s="28">
        <f>SUM('Company Spending Data'!H5, 'Company Spending Data'!H9, 'Company Spending Data'!H13, 'Company Spending Data'!H17, 'Company Spending Data'!H21, 'Company Spending Data'!H25, 'Company Spending Data'!H29, 'Company Spending Data'!H33,)</f>
        <v>5290862247.3422031</v>
      </c>
      <c r="F7" s="29">
        <f>SUM(B7:E7)</f>
        <v>54208804550.036713</v>
      </c>
      <c r="H7" s="16"/>
      <c r="I7" s="16"/>
    </row>
    <row r="8" spans="1:9" x14ac:dyDescent="0.3">
      <c r="A8" s="37"/>
      <c r="B8" s="38"/>
      <c r="C8" s="38"/>
      <c r="D8" s="38"/>
      <c r="E8" s="38"/>
      <c r="F8" s="39"/>
      <c r="H8" s="36"/>
      <c r="I8" s="18"/>
    </row>
    <row r="11" spans="1:9" ht="17.399999999999999" x14ac:dyDescent="0.35">
      <c r="A11" s="17" t="s">
        <v>191</v>
      </c>
    </row>
    <row r="12" spans="1:9" ht="15" thickBot="1" x14ac:dyDescent="0.35"/>
    <row r="13" spans="1:9" x14ac:dyDescent="0.3">
      <c r="A13" s="31" t="s">
        <v>179</v>
      </c>
      <c r="B13" s="32" t="s">
        <v>180</v>
      </c>
    </row>
    <row r="14" spans="1:9" x14ac:dyDescent="0.3">
      <c r="A14" s="33" t="s">
        <v>143</v>
      </c>
      <c r="B14" s="34">
        <f>SUM('Company Spending Data'!I2:I5) + 'Company Spending Data'!I34</f>
        <v>3235616098.8897982</v>
      </c>
    </row>
    <row r="15" spans="1:9" x14ac:dyDescent="0.3">
      <c r="A15" s="33" t="s">
        <v>144</v>
      </c>
      <c r="B15" s="34">
        <f>SUM('Company Spending Data'!I6:I9) + 'Company Spending Data'!I35</f>
        <v>4277819527.5353885</v>
      </c>
    </row>
    <row r="16" spans="1:9" x14ac:dyDescent="0.3">
      <c r="A16" s="33" t="s">
        <v>145</v>
      </c>
      <c r="B16" s="34">
        <f>SUM('Company Spending Data'!I10:I13) + 'Company Spending Data'!I36</f>
        <v>5988207666.6362524</v>
      </c>
    </row>
    <row r="17" spans="1:2" x14ac:dyDescent="0.3">
      <c r="A17" s="33" t="s">
        <v>146</v>
      </c>
      <c r="B17" s="34">
        <f>SUM('Company Spending Data'!I14:I17) + 'Company Spending Data'!I37</f>
        <v>8508858722.5159798</v>
      </c>
    </row>
    <row r="18" spans="1:2" x14ac:dyDescent="0.3">
      <c r="A18" s="33" t="s">
        <v>147</v>
      </c>
      <c r="B18" s="34">
        <f>SUM('Company Spending Data'!I18:I21) + 'Company Spending Data'!I38</f>
        <v>9863265712.0089207</v>
      </c>
    </row>
    <row r="19" spans="1:2" x14ac:dyDescent="0.3">
      <c r="A19" s="33" t="s">
        <v>148</v>
      </c>
      <c r="B19" s="34">
        <f>SUM('Company Spending Data'!I22:I25) + 'Company Spending Data'!I39</f>
        <v>10749338860.711006</v>
      </c>
    </row>
    <row r="20" spans="1:2" x14ac:dyDescent="0.3">
      <c r="A20" s="33" t="s">
        <v>149</v>
      </c>
      <c r="B20" s="34">
        <f>SUM('Company Spending Data'!I26:I29) + 'Company Spending Data'!I340</f>
        <v>14233047840.391766</v>
      </c>
    </row>
    <row r="21" spans="1:2" x14ac:dyDescent="0.3">
      <c r="A21" s="33" t="s">
        <v>150</v>
      </c>
      <c r="B21" s="34">
        <f>SUM('Company Spending Data'!I30:I33) + 'Company Spending Data'!I40</f>
        <v>17356948262.598808</v>
      </c>
    </row>
    <row r="22" spans="1:2" x14ac:dyDescent="0.3">
      <c r="A22" s="33"/>
      <c r="B22" s="34"/>
    </row>
    <row r="23" spans="1:2" ht="15" thickBot="1" x14ac:dyDescent="0.35">
      <c r="A23" s="20" t="s">
        <v>181</v>
      </c>
      <c r="B23" s="21">
        <f>SUM(B14:B22)</f>
        <v>74213102691.287933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EDD6-BE81-46BC-82D5-F7085CD87A16}">
  <dimension ref="A1:M45"/>
  <sheetViews>
    <sheetView tabSelected="1" workbookViewId="0">
      <selection activeCell="F43" sqref="F43"/>
    </sheetView>
  </sheetViews>
  <sheetFormatPr defaultRowHeight="14.4" x14ac:dyDescent="0.3"/>
  <cols>
    <col min="1" max="6" width="16" customWidth="1"/>
    <col min="7" max="7" width="13.44140625" bestFit="1" customWidth="1"/>
    <col min="8" max="8" width="13.44140625" customWidth="1"/>
    <col min="9" max="9" width="15.44140625" bestFit="1" customWidth="1"/>
  </cols>
  <sheetData>
    <row r="1" spans="1:13" s="14" customFormat="1" ht="25.2" customHeight="1" x14ac:dyDescent="0.3">
      <c r="A1" s="8" t="s">
        <v>167</v>
      </c>
      <c r="B1" s="8" t="s">
        <v>179</v>
      </c>
      <c r="C1" s="8" t="s">
        <v>182</v>
      </c>
      <c r="D1" s="8" t="s">
        <v>183</v>
      </c>
      <c r="E1" s="8" t="s">
        <v>196</v>
      </c>
      <c r="F1" s="8" t="s">
        <v>195</v>
      </c>
      <c r="G1" s="8" t="s">
        <v>194</v>
      </c>
      <c r="H1" s="8" t="s">
        <v>193</v>
      </c>
      <c r="I1" s="8" t="s">
        <v>197</v>
      </c>
      <c r="M1" s="8"/>
    </row>
    <row r="2" spans="1:13" x14ac:dyDescent="0.3">
      <c r="A2" s="9" t="s">
        <v>123</v>
      </c>
      <c r="B2" s="9" t="s">
        <v>143</v>
      </c>
      <c r="C2" s="10" t="s">
        <v>169</v>
      </c>
      <c r="D2" s="10" t="s">
        <v>170</v>
      </c>
      <c r="E2" s="11">
        <v>25721835.945537891</v>
      </c>
      <c r="F2" s="11">
        <v>77212738.207101136</v>
      </c>
      <c r="G2" s="11">
        <v>218986185.598804</v>
      </c>
      <c r="H2" s="11">
        <v>17172824.547494229</v>
      </c>
      <c r="I2" s="11">
        <f t="shared" ref="I2:I33" si="0">SUM(E2,F2,G2,H2)</f>
        <v>339093584.29893726</v>
      </c>
      <c r="M2" s="15"/>
    </row>
    <row r="3" spans="1:13" x14ac:dyDescent="0.3">
      <c r="A3" s="9" t="s">
        <v>130</v>
      </c>
      <c r="B3" s="9" t="s">
        <v>143</v>
      </c>
      <c r="C3" s="10" t="s">
        <v>169</v>
      </c>
      <c r="D3" s="10" t="s">
        <v>170</v>
      </c>
      <c r="E3" s="11">
        <v>12253700.894763621</v>
      </c>
      <c r="F3" s="11">
        <v>48831245.030311853</v>
      </c>
      <c r="G3" s="11">
        <v>99421726.240897983</v>
      </c>
      <c r="H3" s="11">
        <v>43101892.962831311</v>
      </c>
      <c r="I3" s="11">
        <f t="shared" si="0"/>
        <v>203608565.12880477</v>
      </c>
      <c r="M3" s="15"/>
    </row>
    <row r="4" spans="1:13" x14ac:dyDescent="0.3">
      <c r="A4" s="9" t="s">
        <v>117</v>
      </c>
      <c r="B4" s="9" t="s">
        <v>143</v>
      </c>
      <c r="C4" s="10" t="s">
        <v>169</v>
      </c>
      <c r="D4" s="10" t="s">
        <v>170</v>
      </c>
      <c r="E4" s="11">
        <v>89422816.476145327</v>
      </c>
      <c r="F4" s="11">
        <v>126366297.0408432</v>
      </c>
      <c r="G4" s="11">
        <v>238282875.02993</v>
      </c>
      <c r="H4" s="11">
        <v>135183559.44102299</v>
      </c>
      <c r="I4" s="11">
        <f t="shared" si="0"/>
        <v>589255547.9879415</v>
      </c>
      <c r="M4" s="15"/>
    </row>
    <row r="5" spans="1:13" x14ac:dyDescent="0.3">
      <c r="A5" s="9" t="s">
        <v>168</v>
      </c>
      <c r="B5" s="9" t="s">
        <v>143</v>
      </c>
      <c r="C5" s="10" t="s">
        <v>169</v>
      </c>
      <c r="D5" s="10" t="s">
        <v>170</v>
      </c>
      <c r="E5" s="11">
        <v>330266520.21429843</v>
      </c>
      <c r="F5" s="11">
        <v>358171628.7150628</v>
      </c>
      <c r="G5" s="11">
        <v>1123117111.26264</v>
      </c>
      <c r="H5" s="11">
        <v>292103141.28211319</v>
      </c>
      <c r="I5" s="11">
        <f t="shared" si="0"/>
        <v>2103658401.4741144</v>
      </c>
      <c r="M5" s="15"/>
    </row>
    <row r="6" spans="1:13" x14ac:dyDescent="0.3">
      <c r="A6" s="9" t="s">
        <v>123</v>
      </c>
      <c r="B6" s="9" t="s">
        <v>144</v>
      </c>
      <c r="C6" s="10" t="s">
        <v>184</v>
      </c>
      <c r="D6" s="10" t="s">
        <v>171</v>
      </c>
      <c r="E6" s="11">
        <v>39611323.316026978</v>
      </c>
      <c r="F6" s="11">
        <v>124387545.75183301</v>
      </c>
      <c r="G6" s="11">
        <v>345285987.12770587</v>
      </c>
      <c r="H6" s="11">
        <v>40557721.243187413</v>
      </c>
      <c r="I6" s="11">
        <f t="shared" si="0"/>
        <v>549842577.43875325</v>
      </c>
      <c r="M6" s="15"/>
    </row>
    <row r="7" spans="1:13" x14ac:dyDescent="0.3">
      <c r="A7" s="9" t="s">
        <v>130</v>
      </c>
      <c r="B7" s="9" t="s">
        <v>144</v>
      </c>
      <c r="C7" s="10" t="s">
        <v>184</v>
      </c>
      <c r="D7" s="10" t="s">
        <v>171</v>
      </c>
      <c r="E7" s="11">
        <v>29252212.82358209</v>
      </c>
      <c r="F7" s="11">
        <v>66649906.737597927</v>
      </c>
      <c r="G7" s="11">
        <v>157070122.66642591</v>
      </c>
      <c r="H7" s="11">
        <v>50330132.586722493</v>
      </c>
      <c r="I7" s="11">
        <f t="shared" si="0"/>
        <v>303302374.81432843</v>
      </c>
      <c r="M7" s="15"/>
    </row>
    <row r="8" spans="1:13" x14ac:dyDescent="0.3">
      <c r="A8" s="9" t="s">
        <v>117</v>
      </c>
      <c r="B8" s="9" t="s">
        <v>144</v>
      </c>
      <c r="C8" s="10" t="s">
        <v>184</v>
      </c>
      <c r="D8" s="10" t="s">
        <v>171</v>
      </c>
      <c r="E8" s="11">
        <v>105568440.28720281</v>
      </c>
      <c r="F8" s="11">
        <v>141559932.61274469</v>
      </c>
      <c r="G8" s="11">
        <v>287060003.26936078</v>
      </c>
      <c r="H8" s="11">
        <v>147515111.18191949</v>
      </c>
      <c r="I8" s="11">
        <f t="shared" si="0"/>
        <v>681703487.35122776</v>
      </c>
      <c r="M8" s="15"/>
    </row>
    <row r="9" spans="1:13" x14ac:dyDescent="0.3">
      <c r="A9" s="9" t="s">
        <v>168</v>
      </c>
      <c r="B9" s="9" t="s">
        <v>144</v>
      </c>
      <c r="C9" s="10" t="s">
        <v>184</v>
      </c>
      <c r="D9" s="10" t="s">
        <v>171</v>
      </c>
      <c r="E9" s="11">
        <v>407288279.166794</v>
      </c>
      <c r="F9" s="11">
        <v>442955453.97660989</v>
      </c>
      <c r="G9" s="11">
        <v>1523815062.5630021</v>
      </c>
      <c r="H9" s="11">
        <v>368912292.22467262</v>
      </c>
      <c r="I9" s="11">
        <f t="shared" si="0"/>
        <v>2742971087.9310789</v>
      </c>
      <c r="M9" s="15"/>
    </row>
    <row r="10" spans="1:13" x14ac:dyDescent="0.3">
      <c r="A10" s="9" t="s">
        <v>123</v>
      </c>
      <c r="B10" s="9" t="s">
        <v>145</v>
      </c>
      <c r="C10" s="10" t="s">
        <v>185</v>
      </c>
      <c r="D10" s="10" t="s">
        <v>172</v>
      </c>
      <c r="E10" s="11">
        <v>59542127.103498697</v>
      </c>
      <c r="F10" s="11">
        <v>185970160.30194959</v>
      </c>
      <c r="G10" s="11">
        <v>518306248.47465283</v>
      </c>
      <c r="H10" s="11">
        <v>58620661.276906379</v>
      </c>
      <c r="I10" s="11">
        <f t="shared" si="0"/>
        <v>822439197.15700746</v>
      </c>
      <c r="M10" s="15"/>
    </row>
    <row r="11" spans="1:13" x14ac:dyDescent="0.3">
      <c r="A11" s="9" t="s">
        <v>130</v>
      </c>
      <c r="B11" s="9" t="s">
        <v>145</v>
      </c>
      <c r="C11" s="10" t="s">
        <v>185</v>
      </c>
      <c r="D11" s="10" t="s">
        <v>172</v>
      </c>
      <c r="E11" s="11">
        <v>71475122.807153106</v>
      </c>
      <c r="F11" s="11">
        <v>111191919.23986921</v>
      </c>
      <c r="G11" s="11">
        <v>302326439.7788021</v>
      </c>
      <c r="H11" s="11">
        <v>68375411.194036186</v>
      </c>
      <c r="I11" s="11">
        <f t="shared" si="0"/>
        <v>553368893.01986051</v>
      </c>
      <c r="M11" s="15"/>
    </row>
    <row r="12" spans="1:13" x14ac:dyDescent="0.3">
      <c r="A12" s="9" t="s">
        <v>117</v>
      </c>
      <c r="B12" s="9" t="s">
        <v>145</v>
      </c>
      <c r="C12" s="10" t="s">
        <v>185</v>
      </c>
      <c r="D12" s="10" t="s">
        <v>172</v>
      </c>
      <c r="E12" s="11">
        <v>133002865.3960133</v>
      </c>
      <c r="F12" s="11">
        <v>161434162.01333031</v>
      </c>
      <c r="G12" s="11">
        <v>315508979.81028211</v>
      </c>
      <c r="H12" s="11">
        <v>162865901.55195761</v>
      </c>
      <c r="I12" s="11">
        <f t="shared" si="0"/>
        <v>772811908.77158332</v>
      </c>
      <c r="M12" s="15"/>
    </row>
    <row r="13" spans="1:13" x14ac:dyDescent="0.3">
      <c r="A13" s="9" t="s">
        <v>168</v>
      </c>
      <c r="B13" s="9" t="s">
        <v>145</v>
      </c>
      <c r="C13" s="10" t="s">
        <v>185</v>
      </c>
      <c r="D13" s="10" t="s">
        <v>172</v>
      </c>
      <c r="E13" s="11">
        <v>559224158.60866666</v>
      </c>
      <c r="F13" s="11">
        <v>615151201.66430652</v>
      </c>
      <c r="G13" s="11">
        <v>2213544958.8578882</v>
      </c>
      <c r="H13" s="11">
        <v>451667348.55694008</v>
      </c>
      <c r="I13" s="11">
        <f t="shared" si="0"/>
        <v>3839587667.6878014</v>
      </c>
      <c r="M13" s="15"/>
    </row>
    <row r="14" spans="1:13" x14ac:dyDescent="0.3">
      <c r="A14" s="9" t="s">
        <v>123</v>
      </c>
      <c r="B14" s="9" t="s">
        <v>146</v>
      </c>
      <c r="C14" s="10" t="s">
        <v>186</v>
      </c>
      <c r="D14" s="10" t="s">
        <v>173</v>
      </c>
      <c r="E14" s="11">
        <v>60781891.855604976</v>
      </c>
      <c r="F14" s="11">
        <v>197527941.9358395</v>
      </c>
      <c r="G14" s="11">
        <v>589112816.27821064</v>
      </c>
      <c r="H14" s="11">
        <v>89362630.465963006</v>
      </c>
      <c r="I14" s="11">
        <f t="shared" si="0"/>
        <v>936785280.53561819</v>
      </c>
      <c r="M14" s="15"/>
    </row>
    <row r="15" spans="1:13" x14ac:dyDescent="0.3">
      <c r="A15" s="9" t="s">
        <v>130</v>
      </c>
      <c r="B15" s="9" t="s">
        <v>146</v>
      </c>
      <c r="C15" s="10" t="s">
        <v>186</v>
      </c>
      <c r="D15" s="10" t="s">
        <v>173</v>
      </c>
      <c r="E15" s="11">
        <v>89602143.428335354</v>
      </c>
      <c r="F15" s="11">
        <v>112528241.6039338</v>
      </c>
      <c r="G15" s="11">
        <v>345847838.67933929</v>
      </c>
      <c r="H15" s="11">
        <v>115288358.07788759</v>
      </c>
      <c r="I15" s="11">
        <f t="shared" si="0"/>
        <v>663266581.78949594</v>
      </c>
      <c r="M15" s="15"/>
    </row>
    <row r="16" spans="1:13" x14ac:dyDescent="0.3">
      <c r="A16" s="9" t="s">
        <v>117</v>
      </c>
      <c r="B16" s="9" t="s">
        <v>146</v>
      </c>
      <c r="C16" s="10" t="s">
        <v>186</v>
      </c>
      <c r="D16" s="10" t="s">
        <v>173</v>
      </c>
      <c r="E16" s="11">
        <v>171262213.66920489</v>
      </c>
      <c r="F16" s="11">
        <v>179982532.23364621</v>
      </c>
      <c r="G16" s="11">
        <v>338032077.52704668</v>
      </c>
      <c r="H16" s="11">
        <v>182071122.71207431</v>
      </c>
      <c r="I16" s="11">
        <f t="shared" si="0"/>
        <v>871347946.14197206</v>
      </c>
      <c r="M16" s="15"/>
    </row>
    <row r="17" spans="1:13" x14ac:dyDescent="0.3">
      <c r="A17" s="9" t="s">
        <v>168</v>
      </c>
      <c r="B17" s="9" t="s">
        <v>146</v>
      </c>
      <c r="C17" s="10" t="s">
        <v>186</v>
      </c>
      <c r="D17" s="10" t="s">
        <v>173</v>
      </c>
      <c r="E17" s="11">
        <v>907058322.30571496</v>
      </c>
      <c r="F17" s="11">
        <v>1024356777.6206501</v>
      </c>
      <c r="G17" s="11">
        <v>3535736915.952168</v>
      </c>
      <c r="H17" s="11">
        <v>570306898.17036152</v>
      </c>
      <c r="I17" s="11">
        <f t="shared" si="0"/>
        <v>6037458914.0488939</v>
      </c>
      <c r="M17" s="15"/>
    </row>
    <row r="18" spans="1:13" x14ac:dyDescent="0.3">
      <c r="A18" s="9" t="s">
        <v>123</v>
      </c>
      <c r="B18" s="9" t="s">
        <v>147</v>
      </c>
      <c r="C18" s="10" t="s">
        <v>187</v>
      </c>
      <c r="D18" s="10" t="s">
        <v>174</v>
      </c>
      <c r="E18" s="11">
        <v>51692338.274326883</v>
      </c>
      <c r="F18" s="11">
        <v>168423698.65780851</v>
      </c>
      <c r="G18" s="11">
        <v>525580951.85635221</v>
      </c>
      <c r="H18" s="11">
        <v>84744976.079338759</v>
      </c>
      <c r="I18" s="11">
        <f t="shared" si="0"/>
        <v>830441964.86782646</v>
      </c>
      <c r="M18" s="15"/>
    </row>
    <row r="19" spans="1:13" x14ac:dyDescent="0.3">
      <c r="A19" s="9" t="s">
        <v>130</v>
      </c>
      <c r="B19" s="9" t="s">
        <v>147</v>
      </c>
      <c r="C19" s="10" t="s">
        <v>187</v>
      </c>
      <c r="D19" s="10" t="s">
        <v>174</v>
      </c>
      <c r="E19" s="11">
        <v>103688813.711128</v>
      </c>
      <c r="F19" s="11">
        <v>115929150.4854966</v>
      </c>
      <c r="G19" s="11">
        <v>375762706.4319452</v>
      </c>
      <c r="H19" s="11">
        <v>85064077.460735351</v>
      </c>
      <c r="I19" s="11">
        <f t="shared" si="0"/>
        <v>680444748.08930516</v>
      </c>
      <c r="M19" s="15"/>
    </row>
    <row r="20" spans="1:13" x14ac:dyDescent="0.3">
      <c r="A20" s="9" t="s">
        <v>117</v>
      </c>
      <c r="B20" s="9" t="s">
        <v>147</v>
      </c>
      <c r="C20" s="10" t="s">
        <v>187</v>
      </c>
      <c r="D20" s="10" t="s">
        <v>174</v>
      </c>
      <c r="E20" s="11">
        <v>222945976.64715281</v>
      </c>
      <c r="F20" s="11">
        <v>211436765.5895077</v>
      </c>
      <c r="G20" s="11">
        <v>362985951.83590609</v>
      </c>
      <c r="H20" s="11">
        <v>189508276.50091749</v>
      </c>
      <c r="I20" s="11">
        <f t="shared" si="0"/>
        <v>986876970.57348394</v>
      </c>
      <c r="M20" s="15"/>
    </row>
    <row r="21" spans="1:13" x14ac:dyDescent="0.3">
      <c r="A21" s="9" t="s">
        <v>168</v>
      </c>
      <c r="B21" s="9" t="s">
        <v>147</v>
      </c>
      <c r="C21" s="10" t="s">
        <v>187</v>
      </c>
      <c r="D21" s="10" t="s">
        <v>174</v>
      </c>
      <c r="E21" s="11">
        <v>1030667435.919257</v>
      </c>
      <c r="F21" s="11">
        <v>1199875232.505682</v>
      </c>
      <c r="G21" s="11">
        <v>4275870793.118084</v>
      </c>
      <c r="H21" s="11">
        <v>859088566.93528187</v>
      </c>
      <c r="I21" s="11">
        <f t="shared" si="0"/>
        <v>7365502028.4783049</v>
      </c>
      <c r="M21" s="15"/>
    </row>
    <row r="22" spans="1:13" x14ac:dyDescent="0.3">
      <c r="A22" s="9" t="s">
        <v>123</v>
      </c>
      <c r="B22" s="9" t="s">
        <v>148</v>
      </c>
      <c r="C22" s="10" t="s">
        <v>188</v>
      </c>
      <c r="D22" s="10" t="s">
        <v>175</v>
      </c>
      <c r="E22" s="11">
        <v>53181154.579120412</v>
      </c>
      <c r="F22" s="11">
        <v>156167023.2234934</v>
      </c>
      <c r="G22" s="11">
        <v>569890333.57284212</v>
      </c>
      <c r="H22" s="11">
        <v>70153253.108968228</v>
      </c>
      <c r="I22" s="11">
        <f t="shared" si="0"/>
        <v>849391764.48442411</v>
      </c>
      <c r="M22" s="15"/>
    </row>
    <row r="23" spans="1:13" x14ac:dyDescent="0.3">
      <c r="A23" s="9" t="s">
        <v>130</v>
      </c>
      <c r="B23" s="9" t="s">
        <v>148</v>
      </c>
      <c r="C23" s="10" t="s">
        <v>188</v>
      </c>
      <c r="D23" s="10" t="s">
        <v>175</v>
      </c>
      <c r="E23" s="11">
        <v>120617083.5987584</v>
      </c>
      <c r="F23" s="11">
        <v>134929042.93070799</v>
      </c>
      <c r="G23" s="11">
        <v>437815929.1940152</v>
      </c>
      <c r="H23" s="11">
        <v>99957207.336018577</v>
      </c>
      <c r="I23" s="11">
        <f t="shared" si="0"/>
        <v>793319263.05950022</v>
      </c>
      <c r="M23" s="15"/>
    </row>
    <row r="24" spans="1:13" x14ac:dyDescent="0.3">
      <c r="A24" s="9" t="s">
        <v>117</v>
      </c>
      <c r="B24" s="9" t="s">
        <v>148</v>
      </c>
      <c r="C24" s="10" t="s">
        <v>188</v>
      </c>
      <c r="D24" s="10" t="s">
        <v>175</v>
      </c>
      <c r="E24" s="11">
        <v>265578324.53252539</v>
      </c>
      <c r="F24" s="11">
        <v>253758205.42614949</v>
      </c>
      <c r="G24" s="11">
        <v>482097301.32023388</v>
      </c>
      <c r="H24" s="11">
        <v>223023117.67686161</v>
      </c>
      <c r="I24" s="11">
        <f t="shared" si="0"/>
        <v>1224456948.9557703</v>
      </c>
      <c r="M24" s="15"/>
    </row>
    <row r="25" spans="1:13" x14ac:dyDescent="0.3">
      <c r="A25" s="9" t="s">
        <v>168</v>
      </c>
      <c r="B25" s="9" t="s">
        <v>148</v>
      </c>
      <c r="C25" s="10" t="s">
        <v>188</v>
      </c>
      <c r="D25" s="10" t="s">
        <v>175</v>
      </c>
      <c r="E25" s="11">
        <v>1069489444.741207</v>
      </c>
      <c r="F25" s="11">
        <v>1255621972.090714</v>
      </c>
      <c r="G25" s="11">
        <v>4797020849.3009787</v>
      </c>
      <c r="H25" s="11">
        <v>760038618.07841039</v>
      </c>
      <c r="I25" s="11">
        <f t="shared" si="0"/>
        <v>7882170884.2113104</v>
      </c>
      <c r="M25" s="15"/>
    </row>
    <row r="26" spans="1:13" x14ac:dyDescent="0.3">
      <c r="A26" s="9" t="s">
        <v>123</v>
      </c>
      <c r="B26" s="9" t="s">
        <v>149</v>
      </c>
      <c r="C26" s="10" t="s">
        <v>189</v>
      </c>
      <c r="D26" s="10" t="s">
        <v>176</v>
      </c>
      <c r="E26" s="11">
        <v>59235934.661092587</v>
      </c>
      <c r="F26" s="11">
        <v>161899873.7397925</v>
      </c>
      <c r="G26" s="11">
        <v>675719185.75805473</v>
      </c>
      <c r="H26" s="11">
        <v>84022433.899150282</v>
      </c>
      <c r="I26" s="11">
        <f t="shared" si="0"/>
        <v>980877428.05809009</v>
      </c>
      <c r="M26" s="15"/>
    </row>
    <row r="27" spans="1:13" x14ac:dyDescent="0.3">
      <c r="A27" s="9" t="s">
        <v>130</v>
      </c>
      <c r="B27" s="9" t="s">
        <v>149</v>
      </c>
      <c r="C27" s="10" t="s">
        <v>189</v>
      </c>
      <c r="D27" s="10" t="s">
        <v>176</v>
      </c>
      <c r="E27" s="11">
        <v>139923344.4023903</v>
      </c>
      <c r="F27" s="11">
        <v>156487884.05557761</v>
      </c>
      <c r="G27" s="11">
        <v>507743470.5296464</v>
      </c>
      <c r="H27" s="11">
        <v>116131577.9074695</v>
      </c>
      <c r="I27" s="11">
        <f t="shared" si="0"/>
        <v>920286276.89508379</v>
      </c>
      <c r="M27" s="15"/>
    </row>
    <row r="28" spans="1:13" x14ac:dyDescent="0.3">
      <c r="A28" s="9" t="s">
        <v>117</v>
      </c>
      <c r="B28" s="9" t="s">
        <v>149</v>
      </c>
      <c r="C28" s="10" t="s">
        <v>189</v>
      </c>
      <c r="D28" s="10" t="s">
        <v>176</v>
      </c>
      <c r="E28" s="11">
        <v>240602087.199038</v>
      </c>
      <c r="F28" s="11">
        <v>260773364.63960889</v>
      </c>
      <c r="G28" s="11">
        <v>763848241.2298255</v>
      </c>
      <c r="H28" s="11">
        <v>261294699.795248</v>
      </c>
      <c r="I28" s="11">
        <f t="shared" si="0"/>
        <v>1526518392.8637204</v>
      </c>
      <c r="M28" s="15"/>
    </row>
    <row r="29" spans="1:13" x14ac:dyDescent="0.3">
      <c r="A29" s="9" t="s">
        <v>168</v>
      </c>
      <c r="B29" s="9" t="s">
        <v>149</v>
      </c>
      <c r="C29" s="10" t="s">
        <v>189</v>
      </c>
      <c r="D29" s="10" t="s">
        <v>176</v>
      </c>
      <c r="E29" s="11">
        <v>1446845592.610677</v>
      </c>
      <c r="F29" s="11">
        <v>1663073527.2057071</v>
      </c>
      <c r="G29" s="11">
        <v>6773379203.5010757</v>
      </c>
      <c r="H29" s="11">
        <v>922067419.25741279</v>
      </c>
      <c r="I29" s="11">
        <f t="shared" si="0"/>
        <v>10805365742.574871</v>
      </c>
      <c r="M29" s="15"/>
    </row>
    <row r="30" spans="1:13" x14ac:dyDescent="0.3">
      <c r="A30" s="9" t="s">
        <v>123</v>
      </c>
      <c r="B30" s="9" t="s">
        <v>150</v>
      </c>
      <c r="C30" s="10" t="s">
        <v>190</v>
      </c>
      <c r="D30" s="10" t="s">
        <v>177</v>
      </c>
      <c r="E30" s="11">
        <v>66554051.681737646</v>
      </c>
      <c r="F30" s="11">
        <v>178973399.2075918</v>
      </c>
      <c r="G30" s="11">
        <v>821452850.53179157</v>
      </c>
      <c r="H30" s="11">
        <v>100921518.6286736</v>
      </c>
      <c r="I30" s="11">
        <f t="shared" si="0"/>
        <v>1167901820.0497947</v>
      </c>
      <c r="M30" s="15"/>
    </row>
    <row r="31" spans="1:13" x14ac:dyDescent="0.3">
      <c r="A31" s="9" t="s">
        <v>130</v>
      </c>
      <c r="B31" s="9" t="s">
        <v>150</v>
      </c>
      <c r="C31" s="10" t="s">
        <v>190</v>
      </c>
      <c r="D31" s="10" t="s">
        <v>177</v>
      </c>
      <c r="E31" s="11">
        <v>162551059.80246559</v>
      </c>
      <c r="F31" s="11">
        <v>181819601.4649092</v>
      </c>
      <c r="G31" s="11">
        <v>591026118.87262154</v>
      </c>
      <c r="H31" s="11">
        <v>134563187.29895681</v>
      </c>
      <c r="I31" s="11">
        <f t="shared" si="0"/>
        <v>1069959967.4389532</v>
      </c>
      <c r="M31" s="15"/>
    </row>
    <row r="32" spans="1:13" x14ac:dyDescent="0.3">
      <c r="A32" s="9" t="s">
        <v>117</v>
      </c>
      <c r="B32" s="9" t="s">
        <v>150</v>
      </c>
      <c r="C32" s="10" t="s">
        <v>190</v>
      </c>
      <c r="D32" s="10" t="s">
        <v>177</v>
      </c>
      <c r="E32" s="11">
        <v>197248195.70020279</v>
      </c>
      <c r="F32" s="11">
        <v>243240262.84813529</v>
      </c>
      <c r="G32" s="11">
        <v>1015806571.238156</v>
      </c>
      <c r="H32" s="11">
        <v>230701621.69323179</v>
      </c>
      <c r="I32" s="11">
        <f t="shared" si="0"/>
        <v>1686996651.4797258</v>
      </c>
      <c r="M32" s="15"/>
    </row>
    <row r="33" spans="1:13" x14ac:dyDescent="0.3">
      <c r="A33" s="9" t="s">
        <v>168</v>
      </c>
      <c r="B33" s="9" t="s">
        <v>150</v>
      </c>
      <c r="C33" s="10" t="s">
        <v>190</v>
      </c>
      <c r="D33" s="10" t="s">
        <v>177</v>
      </c>
      <c r="E33" s="11">
        <v>1815850812.3845971</v>
      </c>
      <c r="F33" s="11">
        <v>1969324634.436049</v>
      </c>
      <c r="G33" s="11">
        <v>8580236413.972682</v>
      </c>
      <c r="H33" s="11">
        <v>1066677962.83701</v>
      </c>
      <c r="I33" s="11">
        <f t="shared" si="0"/>
        <v>13432089823.630337</v>
      </c>
      <c r="M33" s="15"/>
    </row>
    <row r="34" spans="1:13" x14ac:dyDescent="0.3">
      <c r="A34" s="9"/>
      <c r="B34" s="9"/>
      <c r="C34" s="10"/>
      <c r="D34" s="10"/>
      <c r="E34" s="11"/>
      <c r="F34" s="11"/>
      <c r="G34" s="11"/>
      <c r="H34" s="11"/>
      <c r="I34" s="11"/>
      <c r="M34" s="15"/>
    </row>
    <row r="35" spans="1:13" x14ac:dyDescent="0.3">
      <c r="A35" s="9"/>
      <c r="B35" s="9"/>
      <c r="C35" s="10"/>
      <c r="D35" s="10"/>
      <c r="E35" s="11"/>
      <c r="F35" s="11"/>
      <c r="G35" s="11"/>
      <c r="H35" s="11"/>
      <c r="I35" s="11"/>
      <c r="M35" s="15"/>
    </row>
    <row r="36" spans="1:13" x14ac:dyDescent="0.3">
      <c r="A36" s="9"/>
      <c r="B36" s="9"/>
      <c r="C36" s="10"/>
      <c r="D36" s="10"/>
      <c r="E36" s="11"/>
      <c r="F36" s="11"/>
      <c r="G36" s="11"/>
      <c r="H36" s="11"/>
      <c r="I36" s="11"/>
      <c r="M36" s="15"/>
    </row>
    <row r="37" spans="1:13" x14ac:dyDescent="0.3">
      <c r="A37" s="9"/>
      <c r="B37" s="9"/>
      <c r="C37" s="10"/>
      <c r="D37" s="10"/>
      <c r="E37" s="11"/>
      <c r="F37" s="11"/>
      <c r="G37" s="11"/>
      <c r="H37" s="11"/>
      <c r="I37" s="11"/>
      <c r="M37" s="15"/>
    </row>
    <row r="38" spans="1:13" x14ac:dyDescent="0.3">
      <c r="A38" s="9"/>
      <c r="B38" s="9"/>
      <c r="C38" s="10"/>
      <c r="D38" s="10"/>
      <c r="E38" s="11"/>
      <c r="F38" s="11"/>
      <c r="G38" s="11"/>
      <c r="H38" s="11"/>
      <c r="I38" s="11"/>
      <c r="M38" s="15"/>
    </row>
    <row r="39" spans="1:13" x14ac:dyDescent="0.3">
      <c r="A39" s="9"/>
      <c r="B39" s="9"/>
      <c r="C39" s="10"/>
      <c r="D39" s="10"/>
      <c r="E39" s="11"/>
      <c r="F39" s="11"/>
      <c r="G39" s="11"/>
      <c r="H39" s="11"/>
      <c r="I39" s="11"/>
      <c r="M39" s="15"/>
    </row>
    <row r="40" spans="1:13" x14ac:dyDescent="0.3">
      <c r="A40" s="9"/>
      <c r="B40" s="9"/>
      <c r="C40" s="10"/>
      <c r="D40" s="10"/>
      <c r="E40" s="11"/>
      <c r="F40" s="11"/>
      <c r="G40" s="11"/>
      <c r="H40" s="11"/>
      <c r="I40" s="11"/>
      <c r="M40" s="15"/>
    </row>
    <row r="41" spans="1:13" x14ac:dyDescent="0.3">
      <c r="M41" s="15"/>
    </row>
    <row r="42" spans="1:13" x14ac:dyDescent="0.3">
      <c r="M42" s="15"/>
    </row>
    <row r="43" spans="1:13" x14ac:dyDescent="0.3">
      <c r="M43" s="15"/>
    </row>
    <row r="44" spans="1:13" x14ac:dyDescent="0.3">
      <c r="M44" s="15"/>
    </row>
    <row r="45" spans="1:13" x14ac:dyDescent="0.3">
      <c r="I45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908A-5A08-4D68-A68F-D479121A04C2}">
  <dimension ref="A1:B58"/>
  <sheetViews>
    <sheetView topLeftCell="A41" workbookViewId="0">
      <selection activeCell="E11" sqref="E11"/>
    </sheetView>
  </sheetViews>
  <sheetFormatPr defaultRowHeight="14.4" x14ac:dyDescent="0.3"/>
  <cols>
    <col min="1" max="1" width="15.77734375" customWidth="1"/>
    <col min="2" max="2" width="19.109375" customWidth="1"/>
  </cols>
  <sheetData>
    <row r="1" spans="1:2" s="19" customFormat="1" x14ac:dyDescent="0.3">
      <c r="A1" s="19" t="s">
        <v>192</v>
      </c>
      <c r="B1" s="19" t="s">
        <v>199</v>
      </c>
    </row>
    <row r="2" spans="1:2" x14ac:dyDescent="0.3">
      <c r="A2" s="1">
        <v>44562</v>
      </c>
      <c r="B2">
        <v>52.356999999999999</v>
      </c>
    </row>
    <row r="3" spans="1:2" x14ac:dyDescent="0.3">
      <c r="A3" s="1">
        <v>44593</v>
      </c>
      <c r="B3">
        <v>52.423000000000002</v>
      </c>
    </row>
    <row r="4" spans="1:2" x14ac:dyDescent="0.3">
      <c r="A4" s="1">
        <v>44621</v>
      </c>
      <c r="B4">
        <v>52.802999999999997</v>
      </c>
    </row>
    <row r="5" spans="1:2" x14ac:dyDescent="0.3">
      <c r="A5" s="1">
        <v>44652</v>
      </c>
      <c r="B5">
        <v>52.835000000000001</v>
      </c>
    </row>
    <row r="6" spans="1:2" x14ac:dyDescent="0.3">
      <c r="A6" s="1">
        <v>44682</v>
      </c>
      <c r="B6">
        <v>52.835000000000001</v>
      </c>
    </row>
    <row r="7" spans="1:2" x14ac:dyDescent="0.3">
      <c r="A7" s="1">
        <v>44713</v>
      </c>
      <c r="B7">
        <v>52.780999999999999</v>
      </c>
    </row>
    <row r="8" spans="1:2" x14ac:dyDescent="0.3">
      <c r="A8" s="1">
        <v>44743</v>
      </c>
      <c r="B8">
        <v>53.462000000000003</v>
      </c>
    </row>
    <row r="9" spans="1:2" x14ac:dyDescent="0.3">
      <c r="A9" s="1">
        <v>44774</v>
      </c>
      <c r="B9">
        <v>53.134</v>
      </c>
    </row>
    <row r="10" spans="1:2" x14ac:dyDescent="0.3">
      <c r="A10" s="1">
        <v>44805</v>
      </c>
      <c r="B10">
        <v>53.776000000000003</v>
      </c>
    </row>
    <row r="11" spans="1:2" x14ac:dyDescent="0.3">
      <c r="A11" s="1">
        <v>44835</v>
      </c>
      <c r="B11">
        <v>53.945999999999998</v>
      </c>
    </row>
    <row r="12" spans="1:2" x14ac:dyDescent="0.3">
      <c r="A12" s="1">
        <v>44866</v>
      </c>
      <c r="B12">
        <v>54.484000000000002</v>
      </c>
    </row>
    <row r="13" spans="1:2" x14ac:dyDescent="0.3">
      <c r="A13" s="1">
        <v>44896</v>
      </c>
      <c r="B13">
        <v>54.472000000000001</v>
      </c>
    </row>
    <row r="14" spans="1:2" x14ac:dyDescent="0.3">
      <c r="A14" s="1">
        <v>44927</v>
      </c>
      <c r="B14">
        <v>54.804000000000002</v>
      </c>
    </row>
    <row r="15" spans="1:2" x14ac:dyDescent="0.3">
      <c r="A15" s="1">
        <v>44958</v>
      </c>
      <c r="B15">
        <v>55.518999999999998</v>
      </c>
    </row>
    <row r="16" spans="1:2" x14ac:dyDescent="0.3">
      <c r="A16" s="1">
        <v>44986</v>
      </c>
      <c r="B16">
        <v>55.518999999999998</v>
      </c>
    </row>
    <row r="17" spans="1:2" x14ac:dyDescent="0.3">
      <c r="A17" s="1">
        <v>45017</v>
      </c>
      <c r="B17">
        <v>55.524000000000001</v>
      </c>
    </row>
    <row r="18" spans="1:2" x14ac:dyDescent="0.3">
      <c r="A18" s="1">
        <v>45047</v>
      </c>
      <c r="B18">
        <v>55.524000000000001</v>
      </c>
    </row>
    <row r="19" spans="1:2" x14ac:dyDescent="0.3">
      <c r="A19" s="1">
        <v>45078</v>
      </c>
      <c r="B19">
        <v>55.524000000000001</v>
      </c>
    </row>
    <row r="20" spans="1:2" x14ac:dyDescent="0.3">
      <c r="A20" s="1">
        <v>45108</v>
      </c>
      <c r="B20">
        <v>56.677999999999997</v>
      </c>
    </row>
    <row r="21" spans="1:2" x14ac:dyDescent="0.3">
      <c r="A21" s="1">
        <v>45139</v>
      </c>
      <c r="B21">
        <v>56.982999999999997</v>
      </c>
    </row>
    <row r="22" spans="1:2" x14ac:dyDescent="0.3">
      <c r="A22" s="1">
        <v>45170</v>
      </c>
      <c r="B22">
        <v>58.091000000000001</v>
      </c>
    </row>
    <row r="23" spans="1:2" x14ac:dyDescent="0.3">
      <c r="A23" s="1">
        <v>45200</v>
      </c>
      <c r="B23">
        <v>58.287999999999997</v>
      </c>
    </row>
    <row r="24" spans="1:2" x14ac:dyDescent="0.3">
      <c r="A24" s="1">
        <v>45231</v>
      </c>
      <c r="B24">
        <v>57.984999999999999</v>
      </c>
    </row>
    <row r="25" spans="1:2" x14ac:dyDescent="0.3">
      <c r="A25" s="1">
        <v>45261</v>
      </c>
      <c r="B25">
        <v>57.984999999999999</v>
      </c>
    </row>
    <row r="26" spans="1:2" x14ac:dyDescent="0.3">
      <c r="A26" s="1">
        <v>45292</v>
      </c>
      <c r="B26">
        <v>58.445</v>
      </c>
    </row>
    <row r="27" spans="1:2" x14ac:dyDescent="0.3">
      <c r="A27" s="1">
        <v>45323</v>
      </c>
      <c r="B27">
        <v>58.445</v>
      </c>
    </row>
    <row r="28" spans="1:2" x14ac:dyDescent="0.3">
      <c r="A28" s="1">
        <v>45352</v>
      </c>
      <c r="B28">
        <v>58.445</v>
      </c>
    </row>
    <row r="29" spans="1:2" x14ac:dyDescent="0.3">
      <c r="A29" s="1">
        <v>45383</v>
      </c>
      <c r="B29">
        <v>59.02</v>
      </c>
    </row>
    <row r="30" spans="1:2" x14ac:dyDescent="0.3">
      <c r="A30" s="1">
        <v>45413</v>
      </c>
      <c r="B30">
        <v>59.084000000000003</v>
      </c>
    </row>
    <row r="31" spans="1:2" x14ac:dyDescent="0.3">
      <c r="A31" s="1">
        <v>45444</v>
      </c>
      <c r="B31">
        <v>59.075000000000003</v>
      </c>
    </row>
    <row r="32" spans="1:2" x14ac:dyDescent="0.3">
      <c r="A32" s="1">
        <v>45474</v>
      </c>
      <c r="B32">
        <v>59.075000000000003</v>
      </c>
    </row>
    <row r="33" spans="1:2" x14ac:dyDescent="0.3">
      <c r="A33" s="1">
        <v>45505</v>
      </c>
      <c r="B33">
        <v>58.36</v>
      </c>
    </row>
    <row r="34" spans="1:2" x14ac:dyDescent="0.3">
      <c r="A34" s="1">
        <v>45536</v>
      </c>
      <c r="B34">
        <v>58.509</v>
      </c>
    </row>
    <row r="35" spans="1:2" x14ac:dyDescent="0.3">
      <c r="A35" s="1">
        <v>45566</v>
      </c>
      <c r="B35">
        <v>58.131</v>
      </c>
    </row>
    <row r="36" spans="1:2" x14ac:dyDescent="0.3">
      <c r="A36" s="1">
        <v>45597</v>
      </c>
      <c r="B36">
        <v>58.177999999999997</v>
      </c>
    </row>
    <row r="37" spans="1:2" x14ac:dyDescent="0.3">
      <c r="A37" s="1">
        <v>45627</v>
      </c>
      <c r="B37">
        <v>57.4</v>
      </c>
    </row>
    <row r="38" spans="1:2" x14ac:dyDescent="0.3">
      <c r="A38" s="1">
        <v>45658</v>
      </c>
      <c r="B38">
        <v>56.273000000000003</v>
      </c>
    </row>
    <row r="39" spans="1:2" x14ac:dyDescent="0.3">
      <c r="A39" s="1">
        <v>45689</v>
      </c>
      <c r="B39">
        <v>56.363999999999997</v>
      </c>
    </row>
    <row r="40" spans="1:2" x14ac:dyDescent="0.3">
      <c r="A40" s="1">
        <v>45717</v>
      </c>
      <c r="B40">
        <v>57.280999999999999</v>
      </c>
    </row>
    <row r="41" spans="1:2" x14ac:dyDescent="0.3">
      <c r="A41" s="1">
        <v>45748</v>
      </c>
      <c r="B41">
        <v>57.280999999999999</v>
      </c>
    </row>
    <row r="42" spans="1:2" x14ac:dyDescent="0.3">
      <c r="A42" s="1">
        <v>45778</v>
      </c>
      <c r="B42">
        <v>56.134</v>
      </c>
    </row>
    <row r="43" spans="1:2" x14ac:dyDescent="0.3">
      <c r="A43" s="1">
        <v>45809</v>
      </c>
      <c r="B43">
        <v>56.195</v>
      </c>
    </row>
    <row r="44" spans="1:2" x14ac:dyDescent="0.3">
      <c r="A44" s="1">
        <v>45839</v>
      </c>
      <c r="B44">
        <v>56.655999999999999</v>
      </c>
    </row>
    <row r="45" spans="1:2" x14ac:dyDescent="0.3">
      <c r="A45" s="1">
        <v>45870</v>
      </c>
      <c r="B45">
        <v>54.808</v>
      </c>
    </row>
    <row r="46" spans="1:2" x14ac:dyDescent="0.3">
      <c r="A46" s="1">
        <v>45901</v>
      </c>
      <c r="B46">
        <v>55.058</v>
      </c>
    </row>
    <row r="47" spans="1:2" x14ac:dyDescent="0.3">
      <c r="A47" s="1">
        <v>45931</v>
      </c>
      <c r="B47">
        <v>55.058</v>
      </c>
    </row>
    <row r="48" spans="1:2" x14ac:dyDescent="0.3">
      <c r="A48" s="1">
        <v>45962</v>
      </c>
      <c r="B48">
        <v>55.09</v>
      </c>
    </row>
    <row r="49" spans="1:2" x14ac:dyDescent="0.3">
      <c r="A49" s="1">
        <v>45992</v>
      </c>
      <c r="B49">
        <v>55.125</v>
      </c>
    </row>
    <row r="50" spans="1:2" x14ac:dyDescent="0.3">
      <c r="A50" s="1">
        <v>46023</v>
      </c>
      <c r="B50">
        <v>55.375</v>
      </c>
    </row>
    <row r="51" spans="1:2" x14ac:dyDescent="0.3">
      <c r="A51" s="1">
        <v>46054</v>
      </c>
      <c r="B51">
        <v>55.405999999999999</v>
      </c>
    </row>
    <row r="52" spans="1:2" x14ac:dyDescent="0.3">
      <c r="A52" s="1">
        <v>46082</v>
      </c>
      <c r="B52">
        <v>55.393000000000001</v>
      </c>
    </row>
    <row r="53" spans="1:2" x14ac:dyDescent="0.3">
      <c r="A53" s="1">
        <v>46113</v>
      </c>
      <c r="B53">
        <v>55.942999999999998</v>
      </c>
    </row>
    <row r="54" spans="1:2" x14ac:dyDescent="0.3">
      <c r="A54" s="1">
        <v>46143</v>
      </c>
      <c r="B54">
        <v>54.234999999999999</v>
      </c>
    </row>
    <row r="55" spans="1:2" x14ac:dyDescent="0.3">
      <c r="A55" s="1">
        <v>46174</v>
      </c>
      <c r="B55">
        <v>52.470999999999997</v>
      </c>
    </row>
    <row r="56" spans="1:2" x14ac:dyDescent="0.3">
      <c r="A56" s="1">
        <v>46204</v>
      </c>
      <c r="B56">
        <v>52.316000000000003</v>
      </c>
    </row>
    <row r="57" spans="1:2" x14ac:dyDescent="0.3">
      <c r="A57" s="1">
        <v>46235</v>
      </c>
      <c r="B57">
        <v>49.598999999999997</v>
      </c>
    </row>
    <row r="58" spans="1:2" x14ac:dyDescent="0.3">
      <c r="A58" s="1">
        <v>46266</v>
      </c>
      <c r="B58">
        <v>50.521000000000001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RAM Retail Price</vt:lpstr>
      <vt:lpstr>Company Revenue Summary</vt:lpstr>
      <vt:lpstr>Company Revenue</vt:lpstr>
      <vt:lpstr>Company Spending Summary</vt:lpstr>
      <vt:lpstr>Company Spending Data</vt:lpstr>
      <vt:lpstr>Semiconductor Price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Ahmediar Saken</dc:creator>
  <cp:lastModifiedBy>Ahmediar Saken</cp:lastModifiedBy>
  <dcterms:created xsi:type="dcterms:W3CDTF">2015-06-05T18:17:20Z</dcterms:created>
  <dcterms:modified xsi:type="dcterms:W3CDTF">2026-10-24T11:52:46Z</dcterms:modified>
</cp:coreProperties>
</file>